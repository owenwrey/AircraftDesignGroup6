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enr\Documents\GitHub\AircraftDesignGroup6\Genetic Algorithm Sizing Framework\"/>
    </mc:Choice>
  </mc:AlternateContent>
  <xr:revisionPtr revIDLastSave="0" documentId="8_{19932021-7045-4E97-8143-FBA673D9AE77}" xr6:coauthVersionLast="47" xr6:coauthVersionMax="47" xr10:uidLastSave="{00000000-0000-0000-0000-000000000000}"/>
  <bookViews>
    <workbookView xWindow="-110" yWindow="-110" windowWidth="25820" windowHeight="15500" xr2:uid="{5734AE58-8469-4FEF-86BD-F0C15100E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0" i="1" l="1"/>
  <c r="K21" i="1"/>
  <c r="K15" i="1"/>
  <c r="K17" i="1"/>
  <c r="K18" i="1"/>
  <c r="K16" i="1"/>
  <c r="K14" i="1"/>
  <c r="K12" i="1"/>
  <c r="K13" i="1"/>
  <c r="K7" i="1"/>
  <c r="K11" i="1"/>
  <c r="K8" i="1"/>
  <c r="K9" i="1"/>
  <c r="K10" i="1"/>
  <c r="K5" i="1"/>
  <c r="K6" i="1"/>
  <c r="K2" i="1"/>
  <c r="K3" i="1"/>
  <c r="K4" i="1"/>
  <c r="K19" i="1"/>
</calcChain>
</file>

<file path=xl/sharedStrings.xml><?xml version="1.0" encoding="utf-8"?>
<sst xmlns="http://schemas.openxmlformats.org/spreadsheetml/2006/main" count="11" uniqueCount="11">
  <si>
    <t>WL (lb/ft^2)</t>
  </si>
  <si>
    <t>AR_wing</t>
  </si>
  <si>
    <t>lambda (taper ratio)</t>
  </si>
  <si>
    <t>sweep angle</t>
  </si>
  <si>
    <t>MTOW (lbf)</t>
  </si>
  <si>
    <t>EWF</t>
  </si>
  <si>
    <t>CD_0 at combat FC</t>
  </si>
  <si>
    <t>#</t>
  </si>
  <si>
    <t>MTOW Ranking</t>
  </si>
  <si>
    <t>CD_0 Ranking</t>
  </si>
  <si>
    <t>T/W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</si>
</sst>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70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70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7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8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55C5-4891-4D2C-AAE8-53BAC6BD6A8F}">
  <dimension ref="A1:K21"/>
  <sheetViews>
    <sheetView tabSelected="1" workbookViewId="0">
      <selection activeCell="L1" activeCellId="2" sqref="A22:L22 L2:L21 L1"/>
    </sheetView>
  </sheetViews>
  <sheetFormatPr defaultColWidth="21.1796875" defaultRowHeight="14.5" x14ac:dyDescent="0.35"/>
  <cols>
    <col min="1" max="1" width="4.1796875" style="7" customWidth="1"/>
    <col min="2" max="3" width="9.08984375" style="7" customWidth="1"/>
    <col min="4" max="4" width="12.1796875" style="6" customWidth="1"/>
    <col min="5" max="5" width="10" style="6" customWidth="1"/>
    <col min="6" max="6" width="11.26953125" style="7" customWidth="1"/>
    <col min="7" max="7" width="9.81640625" style="6" customWidth="1"/>
    <col min="8" max="8" width="12.36328125" style="8" customWidth="1"/>
    <col min="9" max="9" width="9.1796875" style="9" customWidth="1"/>
    <col min="10" max="10" width="11.54296875" style="10" customWidth="1"/>
    <col min="11" max="11" width="8.453125" style="7" customWidth="1"/>
    <col min="12" max="16384" width="21.1796875" style="7"/>
  </cols>
  <sheetData>
    <row r="1" spans="1:11" s="2" customFormat="1" ht="34" customHeight="1" x14ac:dyDescent="0.35">
      <c r="A1" s="2" t="s">
        <v>7</v>
      </c>
      <c r="B1" s="2" t="s">
        <v>8</v>
      </c>
      <c r="C1" s="2" t="s">
        <v>9</v>
      </c>
      <c r="D1" s="1" t="s">
        <v>0</v>
      </c>
      <c r="E1" s="1" t="s">
        <v>1</v>
      </c>
      <c r="F1" s="2" t="s">
        <v>2</v>
      </c>
      <c r="G1" s="1" t="s">
        <v>3</v>
      </c>
      <c r="H1" s="3" t="s">
        <v>4</v>
      </c>
      <c r="I1" s="4" t="s">
        <v>5</v>
      </c>
      <c r="J1" s="5" t="s">
        <v>6</v>
      </c>
      <c r="K1" s="2" t="s">
        <v>10</v>
      </c>
    </row>
    <row r="2" spans="1:11" x14ac:dyDescent="0.35">
      <c r="A2" s="8">
        <v>3</v>
      </c>
      <c r="B2" s="8">
        <v>18</v>
      </c>
      <c r="C2" s="8">
        <v>1</v>
      </c>
      <c r="D2" s="6">
        <v>82.349650618652603</v>
      </c>
      <c r="E2" s="6">
        <v>5.1817839452341499</v>
      </c>
      <c r="F2" s="7">
        <v>0.44156131613157501</v>
      </c>
      <c r="G2" s="6">
        <v>39.485502551383803</v>
      </c>
      <c r="H2" s="8">
        <v>96979.208463396397</v>
      </c>
      <c r="I2" s="9">
        <v>0.499000224872091</v>
      </c>
      <c r="J2" s="10">
        <v>4.2657870140893998E-2</v>
      </c>
      <c r="K2" s="7">
        <f>26000*2/H2</f>
        <v>0.53619740585557318</v>
      </c>
    </row>
    <row r="3" spans="1:11" x14ac:dyDescent="0.35">
      <c r="A3" s="8">
        <v>16</v>
      </c>
      <c r="B3" s="8">
        <v>19</v>
      </c>
      <c r="C3" s="8">
        <v>2</v>
      </c>
      <c r="D3" s="6">
        <v>82.349650618652603</v>
      </c>
      <c r="E3" s="6">
        <v>5.1817839452341499</v>
      </c>
      <c r="F3" s="7">
        <v>0.44156131613157501</v>
      </c>
      <c r="G3" s="6">
        <v>39.485502551383803</v>
      </c>
      <c r="H3" s="8">
        <v>96979.208463396397</v>
      </c>
      <c r="I3" s="9">
        <v>0.499000224872091</v>
      </c>
      <c r="J3" s="10">
        <v>4.2657870140893998E-2</v>
      </c>
      <c r="K3" s="7">
        <f>26000*2/H3</f>
        <v>0.53619740585557318</v>
      </c>
    </row>
    <row r="4" spans="1:11" x14ac:dyDescent="0.35">
      <c r="A4" s="8">
        <v>15</v>
      </c>
      <c r="B4" s="8">
        <v>20</v>
      </c>
      <c r="C4" s="8">
        <v>3</v>
      </c>
      <c r="D4" s="6">
        <v>82.350066420654599</v>
      </c>
      <c r="E4" s="6">
        <v>5.1817839452341499</v>
      </c>
      <c r="F4" s="7">
        <v>0.44156131613157501</v>
      </c>
      <c r="G4" s="6">
        <v>39.487455676383803</v>
      </c>
      <c r="H4" s="8">
        <v>96979.757442750197</v>
      </c>
      <c r="I4" s="9">
        <v>0.49900334648260602</v>
      </c>
      <c r="J4" s="10">
        <v>4.2657981165101E-2</v>
      </c>
      <c r="K4" s="7">
        <f>26000*2/H4</f>
        <v>0.53619437056951835</v>
      </c>
    </row>
    <row r="5" spans="1:11" x14ac:dyDescent="0.35">
      <c r="A5" s="8">
        <v>14</v>
      </c>
      <c r="B5" s="8">
        <v>16</v>
      </c>
      <c r="C5" s="8">
        <v>4</v>
      </c>
      <c r="D5" s="6">
        <v>83.0543375204537</v>
      </c>
      <c r="E5" s="6">
        <v>4.7141011491490303</v>
      </c>
      <c r="F5" s="7">
        <v>0.42783570805368498</v>
      </c>
      <c r="G5" s="6">
        <v>36.896661468684897</v>
      </c>
      <c r="H5" s="8">
        <v>93575.043156263797</v>
      </c>
      <c r="I5" s="9">
        <v>0.48499438914267801</v>
      </c>
      <c r="J5" s="10">
        <v>4.4137916616058002E-2</v>
      </c>
      <c r="K5" s="7">
        <f>26000*2/H5</f>
        <v>0.55570372447666017</v>
      </c>
    </row>
    <row r="6" spans="1:11" x14ac:dyDescent="0.35">
      <c r="A6" s="8">
        <v>5</v>
      </c>
      <c r="B6" s="8">
        <v>17</v>
      </c>
      <c r="C6" s="8">
        <v>5</v>
      </c>
      <c r="D6" s="6">
        <v>85.504668339294895</v>
      </c>
      <c r="E6" s="6">
        <v>5.0698414078240299</v>
      </c>
      <c r="F6" s="7">
        <v>0.42248336222648403</v>
      </c>
      <c r="G6" s="6">
        <v>37.6908804817038</v>
      </c>
      <c r="H6" s="8">
        <v>94254.591342713698</v>
      </c>
      <c r="I6" s="9">
        <v>0.48971720644213301</v>
      </c>
      <c r="J6" s="10">
        <v>4.5048396097872E-2</v>
      </c>
      <c r="K6" s="7">
        <f>26000*2/H6</f>
        <v>0.55169726226837901</v>
      </c>
    </row>
    <row r="7" spans="1:11" x14ac:dyDescent="0.35">
      <c r="A7" s="8">
        <v>19</v>
      </c>
      <c r="B7" s="8">
        <v>11</v>
      </c>
      <c r="C7" s="8">
        <v>6</v>
      </c>
      <c r="D7" s="6">
        <v>82.9356107689959</v>
      </c>
      <c r="E7" s="6">
        <v>3.55908968022037</v>
      </c>
      <c r="F7" s="7">
        <v>0.41748469129205701</v>
      </c>
      <c r="G7" s="6">
        <v>32.7776632206903</v>
      </c>
      <c r="H7" s="8">
        <v>88433.2145682931</v>
      </c>
      <c r="I7" s="9">
        <v>0.458316057694095</v>
      </c>
      <c r="J7" s="10">
        <v>4.6000839069250003E-2</v>
      </c>
      <c r="K7" s="7">
        <f>26000*2/H7</f>
        <v>0.58801435924103695</v>
      </c>
    </row>
    <row r="8" spans="1:11" x14ac:dyDescent="0.35">
      <c r="A8" s="8">
        <v>9</v>
      </c>
      <c r="B8" s="8">
        <v>13</v>
      </c>
      <c r="C8" s="8">
        <v>7</v>
      </c>
      <c r="D8" s="6">
        <v>85.0535547264748</v>
      </c>
      <c r="E8" s="6">
        <v>4.3202532787753301</v>
      </c>
      <c r="F8" s="7">
        <v>0.40600694425589601</v>
      </c>
      <c r="G8" s="6">
        <v>36.4295828673309</v>
      </c>
      <c r="H8" s="8">
        <v>91217.894770253406</v>
      </c>
      <c r="I8" s="9">
        <v>0.47437096592459799</v>
      </c>
      <c r="J8" s="10">
        <v>4.6043538129119002E-2</v>
      </c>
      <c r="K8" s="7">
        <f>26000*2/H8</f>
        <v>0.57006358380633715</v>
      </c>
    </row>
    <row r="9" spans="1:11" x14ac:dyDescent="0.35">
      <c r="A9" s="8">
        <v>2</v>
      </c>
      <c r="B9" s="8">
        <v>14</v>
      </c>
      <c r="C9" s="8">
        <v>8</v>
      </c>
      <c r="D9" s="6">
        <v>86.388379756132807</v>
      </c>
      <c r="E9" s="6">
        <v>4.4346690180508404</v>
      </c>
      <c r="F9" s="7">
        <v>0.42179864353553498</v>
      </c>
      <c r="G9" s="6">
        <v>38.403136835255602</v>
      </c>
      <c r="H9" s="8">
        <v>91728.782851673604</v>
      </c>
      <c r="I9" s="9">
        <v>0.47769149883214601</v>
      </c>
      <c r="J9" s="10">
        <v>4.6596058058597997E-2</v>
      </c>
      <c r="K9" s="7">
        <f>26000*2/H9</f>
        <v>0.56688858593146862</v>
      </c>
    </row>
    <row r="10" spans="1:11" x14ac:dyDescent="0.35">
      <c r="A10" s="8">
        <v>12</v>
      </c>
      <c r="B10" s="8">
        <v>15</v>
      </c>
      <c r="C10" s="8">
        <v>9</v>
      </c>
      <c r="D10" s="6">
        <v>89.280085228974798</v>
      </c>
      <c r="E10" s="6">
        <v>4.8639964950252503</v>
      </c>
      <c r="F10" s="7">
        <v>0.42800887901586998</v>
      </c>
      <c r="G10" s="6">
        <v>36.116068449517797</v>
      </c>
      <c r="H10" s="8">
        <v>91772.614864631207</v>
      </c>
      <c r="I10" s="9">
        <v>0.47870886814120001</v>
      </c>
      <c r="J10" s="10">
        <v>4.7764595953649E-2</v>
      </c>
      <c r="K10" s="7">
        <f>26000*2/H10</f>
        <v>0.56661783122015619</v>
      </c>
    </row>
    <row r="11" spans="1:11" x14ac:dyDescent="0.35">
      <c r="A11" s="8">
        <v>7</v>
      </c>
      <c r="B11" s="8">
        <v>12</v>
      </c>
      <c r="C11" s="8">
        <v>10</v>
      </c>
      <c r="D11" s="6">
        <v>89.4998842043385</v>
      </c>
      <c r="E11" s="6">
        <v>4.4404142093114896</v>
      </c>
      <c r="F11" s="7">
        <v>0.42544479984954298</v>
      </c>
      <c r="G11" s="6">
        <v>35.808884166927498</v>
      </c>
      <c r="H11" s="8">
        <v>90168.967192339798</v>
      </c>
      <c r="I11" s="9">
        <v>0.47047109358275402</v>
      </c>
      <c r="J11" s="10">
        <v>4.8592174803733998E-2</v>
      </c>
      <c r="K11" s="7">
        <f>26000*2/H11</f>
        <v>0.57669508278916604</v>
      </c>
    </row>
    <row r="12" spans="1:11" x14ac:dyDescent="0.35">
      <c r="A12" s="8">
        <v>17</v>
      </c>
      <c r="B12" s="8">
        <v>9</v>
      </c>
      <c r="C12" s="8">
        <v>11</v>
      </c>
      <c r="D12" s="6">
        <v>89.147043512773195</v>
      </c>
      <c r="E12" s="6">
        <v>3.8204390918115201</v>
      </c>
      <c r="F12" s="7">
        <v>0.39756471464066101</v>
      </c>
      <c r="G12" s="6">
        <v>30.4439803998327</v>
      </c>
      <c r="H12" s="8">
        <v>87349.899646120597</v>
      </c>
      <c r="I12" s="9">
        <v>0.45419218305016401</v>
      </c>
      <c r="J12" s="10">
        <v>4.9349109510914001E-2</v>
      </c>
      <c r="K12" s="7">
        <f>26000*2/H12</f>
        <v>0.59530692319815892</v>
      </c>
    </row>
    <row r="13" spans="1:11" x14ac:dyDescent="0.35">
      <c r="A13" s="8">
        <v>13</v>
      </c>
      <c r="B13" s="8">
        <v>10</v>
      </c>
      <c r="C13" s="8">
        <v>12</v>
      </c>
      <c r="D13" s="6">
        <v>90.021866657682807</v>
      </c>
      <c r="E13" s="6">
        <v>3.8976483556887098</v>
      </c>
      <c r="F13" s="7">
        <v>0.43164736087243899</v>
      </c>
      <c r="G13" s="6">
        <v>36.141709400376399</v>
      </c>
      <c r="H13" s="8">
        <v>88346.9982907503</v>
      </c>
      <c r="I13" s="9">
        <v>0.46037917397978401</v>
      </c>
      <c r="J13" s="10">
        <v>4.9758289571134998E-2</v>
      </c>
      <c r="K13" s="7">
        <f>26000*2/H13</f>
        <v>0.58858819208398916</v>
      </c>
    </row>
    <row r="14" spans="1:11" x14ac:dyDescent="0.35">
      <c r="A14" s="8">
        <v>11</v>
      </c>
      <c r="B14" s="8">
        <v>8</v>
      </c>
      <c r="C14" s="8">
        <v>13</v>
      </c>
      <c r="D14" s="6">
        <v>95.183293722582206</v>
      </c>
      <c r="E14" s="6">
        <v>4.0866131522024496</v>
      </c>
      <c r="F14" s="7">
        <v>0.43366879366984401</v>
      </c>
      <c r="G14" s="6">
        <v>32.819187728097504</v>
      </c>
      <c r="H14" s="8">
        <v>87254.510722159903</v>
      </c>
      <c r="I14" s="9">
        <v>0.45475221232366297</v>
      </c>
      <c r="J14" s="10">
        <v>5.2567880594564999E-2</v>
      </c>
      <c r="K14" s="7">
        <f>26000*2/H14</f>
        <v>0.59595772836983696</v>
      </c>
    </row>
    <row r="15" spans="1:11" x14ac:dyDescent="0.35">
      <c r="A15" s="8">
        <v>8</v>
      </c>
      <c r="B15" s="8">
        <v>4</v>
      </c>
      <c r="C15" s="8">
        <v>14</v>
      </c>
      <c r="D15" s="6">
        <v>99.057482191394996</v>
      </c>
      <c r="E15" s="6">
        <v>3.30550052251259</v>
      </c>
      <c r="F15" s="7">
        <v>0.41649966847970599</v>
      </c>
      <c r="G15" s="6">
        <v>32.113816135199201</v>
      </c>
      <c r="H15" s="8">
        <v>84384.037530931193</v>
      </c>
      <c r="I15" s="9">
        <v>0.43745708408058698</v>
      </c>
      <c r="J15" s="10">
        <v>5.6086831265321997E-2</v>
      </c>
      <c r="K15" s="7">
        <f>26000*2/H15</f>
        <v>0.61623029095922632</v>
      </c>
    </row>
    <row r="16" spans="1:11" x14ac:dyDescent="0.35">
      <c r="A16" s="8">
        <v>10</v>
      </c>
      <c r="B16" s="8">
        <v>7</v>
      </c>
      <c r="C16" s="8">
        <v>15</v>
      </c>
      <c r="D16" s="6">
        <v>103.878349095525</v>
      </c>
      <c r="E16" s="6">
        <v>4.3382354098823699</v>
      </c>
      <c r="F16" s="7">
        <v>0.41571020075239001</v>
      </c>
      <c r="G16" s="6">
        <v>34.004141096239202</v>
      </c>
      <c r="H16" s="8">
        <v>86625.4487130786</v>
      </c>
      <c r="I16" s="9">
        <v>0.45195130318580801</v>
      </c>
      <c r="J16" s="10">
        <v>5.7354303306557997E-2</v>
      </c>
      <c r="K16" s="7">
        <f>26000*2/H16</f>
        <v>0.60028549084039673</v>
      </c>
    </row>
    <row r="17" spans="1:11" x14ac:dyDescent="0.35">
      <c r="A17" s="8">
        <v>4</v>
      </c>
      <c r="B17" s="8">
        <v>5</v>
      </c>
      <c r="C17" s="8">
        <v>16</v>
      </c>
      <c r="D17" s="6">
        <v>102.089845658754</v>
      </c>
      <c r="E17" s="6">
        <v>3.5433968863783099</v>
      </c>
      <c r="F17" s="7">
        <v>0.42226537442197498</v>
      </c>
      <c r="G17" s="6">
        <v>33.479809275486303</v>
      </c>
      <c r="H17" s="8">
        <v>84738.749981222805</v>
      </c>
      <c r="I17" s="9">
        <v>0.44004302779265703</v>
      </c>
      <c r="J17" s="10">
        <v>5.7548224720789999E-2</v>
      </c>
      <c r="K17" s="7">
        <f>26000*2/H17</f>
        <v>0.61365077973799043</v>
      </c>
    </row>
    <row r="18" spans="1:11" x14ac:dyDescent="0.35">
      <c r="A18" s="8">
        <v>18</v>
      </c>
      <c r="B18" s="8">
        <v>6</v>
      </c>
      <c r="C18" s="8">
        <v>17</v>
      </c>
      <c r="D18" s="6">
        <v>102.380416908968</v>
      </c>
      <c r="E18" s="6">
        <v>3.5747447824446699</v>
      </c>
      <c r="F18" s="7">
        <v>0.41648314616447002</v>
      </c>
      <c r="G18" s="6">
        <v>33.232383204281298</v>
      </c>
      <c r="H18" s="8">
        <v>84746.789242177299</v>
      </c>
      <c r="I18" s="9">
        <v>0.44011411088275998</v>
      </c>
      <c r="J18" s="10">
        <v>5.7667026960536001E-2</v>
      </c>
      <c r="K18" s="7">
        <f>26000*2/H18</f>
        <v>0.6135925675178302</v>
      </c>
    </row>
    <row r="19" spans="1:11" x14ac:dyDescent="0.35">
      <c r="A19" s="8">
        <v>1</v>
      </c>
      <c r="B19" s="8">
        <v>1</v>
      </c>
      <c r="C19" s="8">
        <v>18</v>
      </c>
      <c r="D19" s="6">
        <v>104.023182609307</v>
      </c>
      <c r="E19" s="6">
        <v>2.5949906996672998</v>
      </c>
      <c r="F19" s="7">
        <v>0.39427255623086999</v>
      </c>
      <c r="G19" s="6">
        <v>28.136495714157601</v>
      </c>
      <c r="H19" s="8">
        <v>81644.0629100964</v>
      </c>
      <c r="I19" s="9">
        <v>0.41959761461037998</v>
      </c>
      <c r="J19" s="10">
        <v>5.9993206550449998E-2</v>
      </c>
      <c r="K19" s="7">
        <f>26000*2/H19</f>
        <v>0.63691097853937761</v>
      </c>
    </row>
    <row r="20" spans="1:11" x14ac:dyDescent="0.35">
      <c r="A20" s="8">
        <v>6</v>
      </c>
      <c r="B20" s="8">
        <v>2</v>
      </c>
      <c r="C20" s="8">
        <v>19</v>
      </c>
      <c r="D20" s="6">
        <v>104.023182609307</v>
      </c>
      <c r="E20" s="6">
        <v>2.5949906996672998</v>
      </c>
      <c r="F20" s="7">
        <v>0.39427255623086999</v>
      </c>
      <c r="G20" s="6">
        <v>28.136495714157601</v>
      </c>
      <c r="H20" s="8">
        <v>81644.0629100964</v>
      </c>
      <c r="I20" s="9">
        <v>0.41959761461037998</v>
      </c>
      <c r="J20" s="10">
        <v>5.9993206550449998E-2</v>
      </c>
      <c r="K20" s="7">
        <f>26000*2/H20</f>
        <v>0.63691097853937761</v>
      </c>
    </row>
    <row r="21" spans="1:11" x14ac:dyDescent="0.35">
      <c r="A21" s="8">
        <v>20</v>
      </c>
      <c r="B21" s="8">
        <v>3</v>
      </c>
      <c r="C21" s="8">
        <v>20</v>
      </c>
      <c r="D21" s="6">
        <v>104.024159171807</v>
      </c>
      <c r="E21" s="6">
        <v>2.5952920607512899</v>
      </c>
      <c r="F21" s="7">
        <v>0.39431261055215899</v>
      </c>
      <c r="G21" s="6">
        <v>28.136495714157601</v>
      </c>
      <c r="H21" s="8">
        <v>81644.648943076405</v>
      </c>
      <c r="I21" s="9">
        <v>0.41960175647165099</v>
      </c>
      <c r="J21" s="10">
        <v>5.9993299469178002E-2</v>
      </c>
      <c r="K21" s="7">
        <f>26000*2/H21</f>
        <v>0.63690640688840494</v>
      </c>
    </row>
  </sheetData>
  <sortState xmlns:xlrd2="http://schemas.microsoft.com/office/spreadsheetml/2017/richdata2" ref="A2:K21">
    <sortCondition ref="J2:J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Reynolds</dc:creator>
  <cp:lastModifiedBy>Owen Reynolds</cp:lastModifiedBy>
  <dcterms:created xsi:type="dcterms:W3CDTF">2026-04-14T19:35:35Z</dcterms:created>
  <dcterms:modified xsi:type="dcterms:W3CDTF">2026-04-14T19:44:57Z</dcterms:modified>
</cp:coreProperties>
</file>