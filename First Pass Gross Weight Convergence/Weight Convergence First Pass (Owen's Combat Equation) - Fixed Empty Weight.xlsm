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enr\Documents\GitHub\AircraftDesignGroup6\First Pass Gross Weight Convergence\"/>
    </mc:Choice>
  </mc:AlternateContent>
  <xr:revisionPtr revIDLastSave="0" documentId="8_{A7CB3986-A2F8-4E14-B472-40A9C4B3039E}" xr6:coauthVersionLast="47" xr6:coauthVersionMax="47" xr10:uidLastSave="{00000000-0000-0000-0000-000000000000}"/>
  <bookViews>
    <workbookView xWindow="-110" yWindow="-110" windowWidth="25820" windowHeight="15500" activeTab="1" xr2:uid="{00000000-000D-0000-FFFF-FFFF00000000}"/>
  </bookViews>
  <sheets>
    <sheet name="A2A, combat &amp; drop" sheetId="5" r:id="rId1"/>
    <sheet name="A2A, no combat nor drop" sheetId="9" r:id="rId2"/>
    <sheet name="Strike, drop" sheetId="8" r:id="rId3"/>
    <sheet name="Strike, no drop" sheetId="12" r:id="rId4"/>
    <sheet name="Commons" sheetId="13" r:id="rId5"/>
    <sheet name="Geometry Calcs (uncompleted)" sheetId="4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5" l="1"/>
  <c r="H32" i="5"/>
  <c r="H29" i="5"/>
  <c r="H28" i="5"/>
  <c r="F34" i="5"/>
  <c r="F32" i="5"/>
  <c r="F29" i="5"/>
  <c r="F28" i="5"/>
  <c r="H35" i="8"/>
  <c r="H33" i="8"/>
  <c r="H28" i="8"/>
  <c r="F35" i="8"/>
  <c r="F33" i="8"/>
  <c r="F28" i="8"/>
  <c r="H34" i="9"/>
  <c r="H32" i="9"/>
  <c r="H29" i="9"/>
  <c r="H28" i="9"/>
  <c r="F34" i="9"/>
  <c r="F32" i="9"/>
  <c r="F29" i="9"/>
  <c r="F28" i="9"/>
  <c r="F28" i="12"/>
  <c r="F35" i="12"/>
  <c r="F33" i="12"/>
  <c r="H35" i="12"/>
  <c r="H33" i="12"/>
  <c r="H28" i="12"/>
  <c r="X11" i="12"/>
  <c r="Z11" i="12" s="1"/>
  <c r="X10" i="12"/>
  <c r="Z10" i="12" s="1"/>
  <c r="X45" i="12"/>
  <c r="Z45" i="12" s="1"/>
  <c r="X46" i="12"/>
  <c r="Z46" i="12" s="1"/>
  <c r="X47" i="12"/>
  <c r="Y47" i="12" s="1"/>
  <c r="X48" i="12"/>
  <c r="Y48" i="12" s="1"/>
  <c r="X49" i="12"/>
  <c r="Z49" i="12" s="1"/>
  <c r="X50" i="12"/>
  <c r="Y50" i="12" s="1"/>
  <c r="X44" i="5"/>
  <c r="Z44" i="5" s="1"/>
  <c r="X43" i="5"/>
  <c r="Z43" i="5" s="1"/>
  <c r="X42" i="5"/>
  <c r="Z42" i="5" s="1"/>
  <c r="X41" i="5"/>
  <c r="Y41" i="5" s="1"/>
  <c r="X40" i="5"/>
  <c r="Z40" i="5" s="1"/>
  <c r="X39" i="5"/>
  <c r="Y39" i="5" s="1"/>
  <c r="X38" i="5"/>
  <c r="Y38" i="5" s="1"/>
  <c r="X37" i="5"/>
  <c r="Z37" i="5" s="1"/>
  <c r="X36" i="5"/>
  <c r="Z36" i="5" s="1"/>
  <c r="X35" i="5"/>
  <c r="Z35" i="5" s="1"/>
  <c r="X34" i="5"/>
  <c r="Y34" i="5" s="1"/>
  <c r="X33" i="5"/>
  <c r="Z33" i="5" s="1"/>
  <c r="X32" i="5"/>
  <c r="Z32" i="5" s="1"/>
  <c r="X31" i="5"/>
  <c r="Z31" i="5" s="1"/>
  <c r="X30" i="5"/>
  <c r="Z30" i="5" s="1"/>
  <c r="X29" i="5"/>
  <c r="Y29" i="5" s="1"/>
  <c r="X28" i="5"/>
  <c r="Z28" i="5" s="1"/>
  <c r="X27" i="5"/>
  <c r="Z27" i="5" s="1"/>
  <c r="X26" i="5"/>
  <c r="Z26" i="5" s="1"/>
  <c r="X25" i="5"/>
  <c r="Y25" i="5" s="1"/>
  <c r="X24" i="5"/>
  <c r="Z24" i="5" s="1"/>
  <c r="X23" i="5"/>
  <c r="Y23" i="5" s="1"/>
  <c r="X22" i="5"/>
  <c r="Y22" i="5" s="1"/>
  <c r="X21" i="5"/>
  <c r="Z21" i="5" s="1"/>
  <c r="X20" i="5"/>
  <c r="Z20" i="5" s="1"/>
  <c r="X19" i="5"/>
  <c r="Z19" i="5" s="1"/>
  <c r="X18" i="5"/>
  <c r="Y18" i="5" s="1"/>
  <c r="X17" i="5"/>
  <c r="Z17" i="5" s="1"/>
  <c r="X16" i="5"/>
  <c r="Z16" i="5" s="1"/>
  <c r="X15" i="5"/>
  <c r="Z15" i="5" s="1"/>
  <c r="X14" i="5"/>
  <c r="Z14" i="5" s="1"/>
  <c r="X13" i="5"/>
  <c r="Z13" i="5" s="1"/>
  <c r="X12" i="5"/>
  <c r="Z12" i="5" s="1"/>
  <c r="X11" i="5"/>
  <c r="Z11" i="5" s="1"/>
  <c r="X10" i="5"/>
  <c r="Z10" i="5" s="1"/>
  <c r="X44" i="9"/>
  <c r="Z44" i="9" s="1"/>
  <c r="X43" i="9"/>
  <c r="Z43" i="9" s="1"/>
  <c r="X42" i="9"/>
  <c r="Y42" i="9" s="1"/>
  <c r="X41" i="9"/>
  <c r="Z41" i="9" s="1"/>
  <c r="X40" i="9"/>
  <c r="Z40" i="9" s="1"/>
  <c r="X39" i="9"/>
  <c r="Y39" i="9" s="1"/>
  <c r="X38" i="9"/>
  <c r="Y38" i="9" s="1"/>
  <c r="X37" i="9"/>
  <c r="Y37" i="9" s="1"/>
  <c r="X36" i="9"/>
  <c r="Y36" i="9" s="1"/>
  <c r="X35" i="9"/>
  <c r="Y35" i="9" s="1"/>
  <c r="X34" i="9"/>
  <c r="Z34" i="9" s="1"/>
  <c r="X33" i="9"/>
  <c r="Z33" i="9" s="1"/>
  <c r="X32" i="9"/>
  <c r="Z32" i="9" s="1"/>
  <c r="X31" i="9"/>
  <c r="Y31" i="9" s="1"/>
  <c r="X30" i="9"/>
  <c r="Z30" i="9" s="1"/>
  <c r="X29" i="9"/>
  <c r="Y29" i="9" s="1"/>
  <c r="X28" i="9"/>
  <c r="Z28" i="9" s="1"/>
  <c r="X27" i="9"/>
  <c r="Z27" i="9" s="1"/>
  <c r="X26" i="9"/>
  <c r="Z26" i="9" s="1"/>
  <c r="X25" i="9"/>
  <c r="Z25" i="9" s="1"/>
  <c r="X24" i="9"/>
  <c r="Z24" i="9" s="1"/>
  <c r="X23" i="9"/>
  <c r="Y23" i="9" s="1"/>
  <c r="X22" i="9"/>
  <c r="Z22" i="9" s="1"/>
  <c r="X21" i="9"/>
  <c r="Z21" i="9" s="1"/>
  <c r="X20" i="9"/>
  <c r="Y20" i="9" s="1"/>
  <c r="X19" i="9"/>
  <c r="Y19" i="9" s="1"/>
  <c r="X18" i="9"/>
  <c r="Y18" i="9" s="1"/>
  <c r="X17" i="9"/>
  <c r="Z17" i="9" s="1"/>
  <c r="X16" i="9"/>
  <c r="Z16" i="9" s="1"/>
  <c r="X15" i="9"/>
  <c r="Y15" i="9" s="1"/>
  <c r="X14" i="9"/>
  <c r="Z14" i="9" s="1"/>
  <c r="X13" i="9"/>
  <c r="Y13" i="9" s="1"/>
  <c r="X12" i="9"/>
  <c r="Z12" i="9" s="1"/>
  <c r="X11" i="9"/>
  <c r="Y11" i="9" s="1"/>
  <c r="X10" i="9"/>
  <c r="Z10" i="9" s="1"/>
  <c r="X44" i="12"/>
  <c r="Z44" i="12" s="1"/>
  <c r="X43" i="12"/>
  <c r="Y43" i="12" s="1"/>
  <c r="X42" i="12"/>
  <c r="Z42" i="12" s="1"/>
  <c r="X41" i="12"/>
  <c r="Y41" i="12" s="1"/>
  <c r="X40" i="12"/>
  <c r="Y40" i="12" s="1"/>
  <c r="X39" i="12"/>
  <c r="Z39" i="12" s="1"/>
  <c r="X38" i="12"/>
  <c r="Z38" i="12" s="1"/>
  <c r="X37" i="12"/>
  <c r="Z37" i="12" s="1"/>
  <c r="X36" i="12"/>
  <c r="Z36" i="12" s="1"/>
  <c r="X35" i="12"/>
  <c r="Z35" i="12" s="1"/>
  <c r="X34" i="12"/>
  <c r="Y34" i="12" s="1"/>
  <c r="X33" i="12"/>
  <c r="Y33" i="12" s="1"/>
  <c r="X32" i="12"/>
  <c r="Z32" i="12" s="1"/>
  <c r="X31" i="12"/>
  <c r="Z31" i="12" s="1"/>
  <c r="X30" i="12"/>
  <c r="Z30" i="12" s="1"/>
  <c r="X29" i="12"/>
  <c r="Z29" i="12" s="1"/>
  <c r="X28" i="12"/>
  <c r="Z28" i="12" s="1"/>
  <c r="X27" i="12"/>
  <c r="Z27" i="12" s="1"/>
  <c r="X26" i="12"/>
  <c r="Z26" i="12" s="1"/>
  <c r="X25" i="12"/>
  <c r="Y25" i="12" s="1"/>
  <c r="X24" i="12"/>
  <c r="Y24" i="12" s="1"/>
  <c r="X23" i="12"/>
  <c r="Z23" i="12" s="1"/>
  <c r="X22" i="12"/>
  <c r="Z22" i="12" s="1"/>
  <c r="X21" i="12"/>
  <c r="Y21" i="12" s="1"/>
  <c r="X20" i="12"/>
  <c r="Z20" i="12" s="1"/>
  <c r="X19" i="12"/>
  <c r="Y19" i="12" s="1"/>
  <c r="X18" i="12"/>
  <c r="Y18" i="12" s="1"/>
  <c r="X17" i="12"/>
  <c r="Z17" i="12" s="1"/>
  <c r="X16" i="12"/>
  <c r="Z16" i="12" s="1"/>
  <c r="X15" i="12"/>
  <c r="Z15" i="12" s="1"/>
  <c r="X14" i="12"/>
  <c r="Z14" i="12" s="1"/>
  <c r="X13" i="12"/>
  <c r="Z13" i="12" s="1"/>
  <c r="X12" i="12"/>
  <c r="Z12" i="12" s="1"/>
  <c r="X11" i="8"/>
  <c r="Z11" i="8" s="1"/>
  <c r="X12" i="8"/>
  <c r="Z12" i="8" s="1"/>
  <c r="X13" i="8"/>
  <c r="Z13" i="8" s="1"/>
  <c r="X14" i="8"/>
  <c r="Z14" i="8" s="1"/>
  <c r="X15" i="8"/>
  <c r="Z15" i="8" s="1"/>
  <c r="X16" i="8"/>
  <c r="Y16" i="8" s="1"/>
  <c r="X17" i="8"/>
  <c r="Y17" i="8" s="1"/>
  <c r="X18" i="8"/>
  <c r="Y18" i="8" s="1"/>
  <c r="X19" i="8"/>
  <c r="Z19" i="8" s="1"/>
  <c r="X20" i="8"/>
  <c r="Z20" i="8" s="1"/>
  <c r="X21" i="8"/>
  <c r="Z21" i="8" s="1"/>
  <c r="X22" i="8"/>
  <c r="Z22" i="8" s="1"/>
  <c r="X23" i="8"/>
  <c r="Z23" i="8" s="1"/>
  <c r="X24" i="8"/>
  <c r="Z24" i="8" s="1"/>
  <c r="X25" i="8"/>
  <c r="Z25" i="8" s="1"/>
  <c r="X26" i="8"/>
  <c r="Y26" i="8" s="1"/>
  <c r="X27" i="8"/>
  <c r="Y27" i="8" s="1"/>
  <c r="X28" i="8"/>
  <c r="Z28" i="8" s="1"/>
  <c r="X29" i="8"/>
  <c r="Z29" i="8" s="1"/>
  <c r="X30" i="8"/>
  <c r="Z30" i="8" s="1"/>
  <c r="X31" i="8"/>
  <c r="Z31" i="8" s="1"/>
  <c r="X32" i="8"/>
  <c r="Z32" i="8" s="1"/>
  <c r="X33" i="8"/>
  <c r="Y33" i="8" s="1"/>
  <c r="X34" i="8"/>
  <c r="Y34" i="8" s="1"/>
  <c r="X35" i="8"/>
  <c r="Z35" i="8" s="1"/>
  <c r="X36" i="8"/>
  <c r="Z36" i="8" s="1"/>
  <c r="X37" i="8"/>
  <c r="Y37" i="8" s="1"/>
  <c r="X38" i="8"/>
  <c r="Y38" i="8" s="1"/>
  <c r="X39" i="8"/>
  <c r="Y39" i="8" s="1"/>
  <c r="X40" i="8"/>
  <c r="Y40" i="8" s="1"/>
  <c r="X41" i="8"/>
  <c r="Y41" i="8" s="1"/>
  <c r="X42" i="8"/>
  <c r="Y42" i="8" s="1"/>
  <c r="X43" i="8"/>
  <c r="Y43" i="8" s="1"/>
  <c r="X44" i="8"/>
  <c r="Z44" i="8" s="1"/>
  <c r="X10" i="8"/>
  <c r="Y10" i="8" s="1"/>
  <c r="Y23" i="8" l="1"/>
  <c r="K28" i="12"/>
  <c r="M28" i="12" s="1"/>
  <c r="Z47" i="12"/>
  <c r="Y49" i="12"/>
  <c r="Y46" i="12"/>
  <c r="Y44" i="12"/>
  <c r="Z43" i="12"/>
  <c r="Z50" i="12"/>
  <c r="Z48" i="12"/>
  <c r="Y45" i="12"/>
  <c r="Z42" i="8"/>
  <c r="Z43" i="8"/>
  <c r="Z41" i="8"/>
  <c r="Z10" i="8"/>
  <c r="Y15" i="8"/>
  <c r="Y14" i="8"/>
  <c r="Z39" i="8"/>
  <c r="Z40" i="8"/>
  <c r="Z38" i="5"/>
  <c r="Z39" i="5"/>
  <c r="Z41" i="5"/>
  <c r="Y28" i="12"/>
  <c r="Z33" i="12"/>
  <c r="Y39" i="12"/>
  <c r="Y31" i="12"/>
  <c r="Y16" i="12"/>
  <c r="Y20" i="12"/>
  <c r="Z15" i="9"/>
  <c r="Y41" i="9"/>
  <c r="Z31" i="9"/>
  <c r="Z20" i="9"/>
  <c r="Y25" i="8"/>
  <c r="Y24" i="8"/>
  <c r="Y30" i="8"/>
  <c r="Z27" i="8"/>
  <c r="Z26" i="8"/>
  <c r="Z18" i="8"/>
  <c r="Y12" i="12"/>
  <c r="Y17" i="12"/>
  <c r="Z21" i="12"/>
  <c r="Y27" i="12"/>
  <c r="Y36" i="12"/>
  <c r="Z25" i="12"/>
  <c r="Y15" i="12"/>
  <c r="Y23" i="12"/>
  <c r="Y32" i="12"/>
  <c r="Z41" i="12"/>
  <c r="Y34" i="9"/>
  <c r="Z18" i="9"/>
  <c r="Y30" i="9"/>
  <c r="Y14" i="9"/>
  <c r="Z35" i="9"/>
  <c r="Z39" i="9"/>
  <c r="Y25" i="9"/>
  <c r="Z19" i="9"/>
  <c r="Z36" i="9"/>
  <c r="Z18" i="5"/>
  <c r="Y20" i="5"/>
  <c r="Y33" i="5"/>
  <c r="Z34" i="5"/>
  <c r="Z23" i="5"/>
  <c r="Y36" i="5"/>
  <c r="Z25" i="5"/>
  <c r="Z22" i="5"/>
  <c r="Y17" i="5"/>
  <c r="Y21" i="8"/>
  <c r="Z38" i="8"/>
  <c r="Y32" i="8"/>
  <c r="Y31" i="8"/>
  <c r="Y29" i="8"/>
  <c r="Y13" i="8"/>
  <c r="Y22" i="8"/>
  <c r="Z34" i="8"/>
  <c r="Z17" i="8"/>
  <c r="Y44" i="8"/>
  <c r="Y28" i="8"/>
  <c r="Y12" i="8"/>
  <c r="Y20" i="8"/>
  <c r="Z37" i="8"/>
  <c r="Z16" i="8"/>
  <c r="Y19" i="8"/>
  <c r="Z33" i="8"/>
  <c r="Y36" i="8"/>
  <c r="Y35" i="8"/>
  <c r="Y11" i="8"/>
  <c r="Z29" i="5"/>
  <c r="Y40" i="5"/>
  <c r="Y35" i="5"/>
  <c r="Y24" i="5"/>
  <c r="Y19" i="5"/>
  <c r="Y14" i="5"/>
  <c r="Y30" i="5"/>
  <c r="Y13" i="5"/>
  <c r="Y15" i="5"/>
  <c r="Y31" i="5"/>
  <c r="Y10" i="5"/>
  <c r="Y26" i="5"/>
  <c r="Y42" i="5"/>
  <c r="Y21" i="5"/>
  <c r="Y37" i="5"/>
  <c r="Y16" i="5"/>
  <c r="Y32" i="5"/>
  <c r="Y11" i="5"/>
  <c r="Y27" i="5"/>
  <c r="Y43" i="5"/>
  <c r="Y12" i="5"/>
  <c r="Y28" i="5"/>
  <c r="Y44" i="5"/>
  <c r="Y16" i="9"/>
  <c r="Z11" i="9"/>
  <c r="Z38" i="9"/>
  <c r="Z13" i="9"/>
  <c r="Y24" i="9"/>
  <c r="Z29" i="9"/>
  <c r="Y40" i="9"/>
  <c r="Z37" i="9"/>
  <c r="Y43" i="9"/>
  <c r="Y22" i="9"/>
  <c r="Y32" i="9"/>
  <c r="Y33" i="9"/>
  <c r="Z23" i="9"/>
  <c r="Y21" i="9"/>
  <c r="Y26" i="9"/>
  <c r="Z42" i="9"/>
  <c r="Y27" i="9"/>
  <c r="Y17" i="9"/>
  <c r="Y12" i="9"/>
  <c r="Y44" i="9"/>
  <c r="Y10" i="9"/>
  <c r="Y28" i="9"/>
  <c r="Y35" i="12"/>
  <c r="Z40" i="12"/>
  <c r="Y13" i="12"/>
  <c r="Y29" i="12"/>
  <c r="Z24" i="12"/>
  <c r="Y14" i="12"/>
  <c r="Z19" i="12"/>
  <c r="Y30" i="12"/>
  <c r="Z34" i="12"/>
  <c r="Z18" i="12"/>
  <c r="Y10" i="12"/>
  <c r="Y26" i="12"/>
  <c r="Y42" i="12"/>
  <c r="Y37" i="12"/>
  <c r="Y11" i="12"/>
  <c r="Y22" i="12"/>
  <c r="Y38" i="12"/>
  <c r="D30" i="12" l="1"/>
  <c r="P25" i="12"/>
  <c r="P14" i="12"/>
  <c r="O6" i="12"/>
  <c r="N6" i="12"/>
  <c r="O5" i="12"/>
  <c r="N5" i="12"/>
  <c r="J4" i="12"/>
  <c r="O4" i="12" s="1"/>
  <c r="D30" i="8"/>
  <c r="N4" i="12" l="1"/>
  <c r="R25" i="12"/>
  <c r="G8" i="12"/>
  <c r="Q25" i="12"/>
  <c r="T25" i="12" l="1"/>
  <c r="P26" i="12" l="1"/>
  <c r="U25" i="12"/>
  <c r="R26" i="12" l="1"/>
  <c r="Q26" i="12"/>
  <c r="T26" i="12" l="1"/>
  <c r="P27" i="12" l="1"/>
  <c r="U26" i="12"/>
  <c r="R27" i="12" l="1"/>
  <c r="T27" i="12" s="1"/>
  <c r="Q27" i="12"/>
  <c r="P28" i="12" l="1"/>
  <c r="U27" i="12"/>
  <c r="Q28" i="12" l="1"/>
  <c r="L28" i="12" s="1"/>
  <c r="O28" i="12" l="1"/>
  <c r="R28" i="12" s="1"/>
  <c r="T28" i="12" s="1"/>
  <c r="P29" i="12" l="1"/>
  <c r="R29" i="12" s="1"/>
  <c r="T29" i="12" s="1"/>
  <c r="U28" i="12"/>
  <c r="Q29" i="12" l="1"/>
  <c r="U29" i="12"/>
  <c r="P30" i="12"/>
  <c r="Q30" i="12" l="1"/>
  <c r="O30" i="12" s="1"/>
  <c r="R30" i="12" s="1"/>
  <c r="T30" i="12" s="1"/>
  <c r="U30" i="12" l="1"/>
  <c r="P31" i="12"/>
  <c r="Q31" i="12" l="1"/>
  <c r="R31" i="12"/>
  <c r="T31" i="12" s="1"/>
  <c r="P32" i="12" l="1"/>
  <c r="P33" i="12"/>
  <c r="U31" i="12"/>
  <c r="Q33" i="12" l="1"/>
  <c r="L33" i="12" s="1"/>
  <c r="Q32" i="12"/>
  <c r="R32" i="12"/>
  <c r="T32" i="12" s="1"/>
  <c r="U32" i="12" s="1"/>
  <c r="K33" i="12" l="1"/>
  <c r="M33" i="12" s="1"/>
  <c r="O33" i="12" s="1"/>
  <c r="R33" i="12" s="1"/>
  <c r="T33" i="12" s="1"/>
  <c r="P34" i="12" l="1"/>
  <c r="U33" i="12"/>
  <c r="R34" i="12" l="1"/>
  <c r="T34" i="12" s="1"/>
  <c r="Q34" i="12"/>
  <c r="P35" i="12" l="1"/>
  <c r="U34" i="12"/>
  <c r="Q35" i="12" l="1"/>
  <c r="L35" i="12" s="1"/>
  <c r="K35" i="12" l="1"/>
  <c r="M35" i="12" s="1"/>
  <c r="O35" i="12" s="1"/>
  <c r="R35" i="12" s="1"/>
  <c r="T35" i="12" s="1"/>
  <c r="P36" i="12" l="1"/>
  <c r="U35" i="12"/>
  <c r="R36" i="12" l="1"/>
  <c r="R44" i="12" s="1"/>
  <c r="Q36" i="12"/>
  <c r="R45" i="12" l="1"/>
  <c r="R46" i="12" s="1"/>
  <c r="G4" i="12" s="1"/>
  <c r="T36" i="12"/>
  <c r="U36" i="12" s="1"/>
  <c r="O7" i="12" l="1"/>
  <c r="N21" i="12"/>
  <c r="G9" i="12"/>
  <c r="G10" i="12" s="1"/>
  <c r="G5" i="12"/>
  <c r="N7" i="12" l="1"/>
  <c r="O3" i="12"/>
  <c r="P7" i="12" s="1"/>
  <c r="N3" i="12" l="1"/>
  <c r="O10" i="12"/>
  <c r="N10" i="12" s="1"/>
  <c r="O13" i="12"/>
  <c r="N13" i="12" s="1"/>
  <c r="P6" i="12"/>
  <c r="P5" i="12"/>
  <c r="P4" i="12"/>
  <c r="J4" i="5" l="1"/>
  <c r="J4" i="9"/>
  <c r="J4" i="8"/>
  <c r="P25" i="9"/>
  <c r="R25" i="9" s="1"/>
  <c r="P14" i="9"/>
  <c r="O6" i="9"/>
  <c r="N6" i="9"/>
  <c r="O5" i="9"/>
  <c r="P25" i="8"/>
  <c r="Q25" i="8" s="1"/>
  <c r="P14" i="8"/>
  <c r="O6" i="8"/>
  <c r="N6" i="8"/>
  <c r="O5" i="8"/>
  <c r="N5" i="8" s="1"/>
  <c r="R25" i="8" l="1"/>
  <c r="T25" i="8" s="1"/>
  <c r="G8" i="9"/>
  <c r="N4" i="9"/>
  <c r="N5" i="9"/>
  <c r="Q25" i="9"/>
  <c r="T25" i="9"/>
  <c r="N4" i="8"/>
  <c r="G8" i="8"/>
  <c r="P25" i="5"/>
  <c r="R25" i="5" s="1"/>
  <c r="P14" i="5"/>
  <c r="O6" i="5"/>
  <c r="N6" i="5" s="1"/>
  <c r="O5" i="5"/>
  <c r="N5" i="5" s="1"/>
  <c r="I6" i="4"/>
  <c r="I5" i="4"/>
  <c r="I4" i="4"/>
  <c r="G42" i="4"/>
  <c r="G41" i="4"/>
  <c r="G35" i="4"/>
  <c r="G32" i="4"/>
  <c r="G31" i="4"/>
  <c r="I22" i="4"/>
  <c r="I36" i="4" s="1"/>
  <c r="G25" i="4"/>
  <c r="G19" i="4"/>
  <c r="G18" i="4"/>
  <c r="I9" i="4"/>
  <c r="G9" i="4" s="1"/>
  <c r="I13" i="4"/>
  <c r="G13" i="4" s="1"/>
  <c r="G6" i="4"/>
  <c r="U25" i="9" l="1"/>
  <c r="P26" i="9"/>
  <c r="P26" i="8"/>
  <c r="U25" i="8"/>
  <c r="G8" i="5"/>
  <c r="N4" i="5"/>
  <c r="T25" i="5"/>
  <c r="P26" i="5" s="1"/>
  <c r="Q26" i="5" s="1"/>
  <c r="Q25" i="5"/>
  <c r="I26" i="4"/>
  <c r="I14" i="4"/>
  <c r="G26" i="4"/>
  <c r="I10" i="4"/>
  <c r="G10" i="4" s="1"/>
  <c r="G22" i="4"/>
  <c r="G5" i="4"/>
  <c r="G3" i="4"/>
  <c r="G4" i="4"/>
  <c r="Q26" i="9" l="1"/>
  <c r="R26" i="9"/>
  <c r="R26" i="8"/>
  <c r="Q26" i="8"/>
  <c r="R26" i="5"/>
  <c r="T26" i="5" s="1"/>
  <c r="U25" i="5"/>
  <c r="G14" i="4"/>
  <c r="I15" i="4"/>
  <c r="I37" i="4" s="1"/>
  <c r="I38" i="4" s="1"/>
  <c r="G36" i="4"/>
  <c r="T26" i="9" l="1"/>
  <c r="T26" i="8"/>
  <c r="P27" i="5"/>
  <c r="Q27" i="5" s="1"/>
  <c r="U26" i="5"/>
  <c r="I16" i="4"/>
  <c r="G15" i="4"/>
  <c r="G37" i="4"/>
  <c r="U26" i="9" l="1"/>
  <c r="P27" i="9"/>
  <c r="U26" i="8"/>
  <c r="P27" i="8"/>
  <c r="R27" i="5"/>
  <c r="T27" i="5" s="1"/>
  <c r="I17" i="4"/>
  <c r="I27" i="4"/>
  <c r="I28" i="4" s="1"/>
  <c r="G16" i="4"/>
  <c r="G17" i="4" s="1"/>
  <c r="G38" i="4"/>
  <c r="I39" i="4"/>
  <c r="R27" i="9" l="1"/>
  <c r="T27" i="9" s="1"/>
  <c r="Q27" i="9"/>
  <c r="R27" i="8"/>
  <c r="Q27" i="8"/>
  <c r="U27" i="5"/>
  <c r="P28" i="5"/>
  <c r="Q28" i="5" s="1"/>
  <c r="L28" i="5" s="1"/>
  <c r="G39" i="4"/>
  <c r="G40" i="4" s="1"/>
  <c r="I40" i="4"/>
  <c r="U27" i="9" l="1"/>
  <c r="P28" i="9"/>
  <c r="T27" i="8"/>
  <c r="G27" i="4"/>
  <c r="Q28" i="9" l="1"/>
  <c r="L28" i="9" s="1"/>
  <c r="P28" i="8"/>
  <c r="U27" i="8"/>
  <c r="K28" i="5"/>
  <c r="M28" i="5" s="1"/>
  <c r="O28" i="5" s="1"/>
  <c r="R28" i="5" s="1"/>
  <c r="I29" i="4"/>
  <c r="G28" i="4"/>
  <c r="K28" i="9" l="1"/>
  <c r="M28" i="9" s="1"/>
  <c r="O28" i="9" s="1"/>
  <c r="R28" i="9" s="1"/>
  <c r="T28" i="9" s="1"/>
  <c r="Q28" i="8"/>
  <c r="L28" i="8" s="1"/>
  <c r="T28" i="5"/>
  <c r="I30" i="4"/>
  <c r="G29" i="4"/>
  <c r="G30" i="4" s="1"/>
  <c r="U28" i="9" l="1"/>
  <c r="P29" i="9"/>
  <c r="K28" i="8"/>
  <c r="M28" i="8" s="1"/>
  <c r="O28" i="8" s="1"/>
  <c r="R28" i="8" s="1"/>
  <c r="T28" i="8" s="1"/>
  <c r="U28" i="5"/>
  <c r="P29" i="5"/>
  <c r="Q29" i="9" l="1"/>
  <c r="L29" i="9" s="1"/>
  <c r="U28" i="8"/>
  <c r="P29" i="8"/>
  <c r="Q29" i="5"/>
  <c r="L29" i="5" s="1"/>
  <c r="K29" i="9" l="1"/>
  <c r="M29" i="9" s="1"/>
  <c r="Q29" i="8"/>
  <c r="K29" i="5"/>
  <c r="M29" i="5" s="1"/>
  <c r="O29" i="5" s="1"/>
  <c r="R29" i="5" s="1"/>
  <c r="O29" i="9" l="1"/>
  <c r="R29" i="9" s="1"/>
  <c r="T29" i="9" s="1"/>
  <c r="R29" i="8"/>
  <c r="T29" i="8" s="1"/>
  <c r="T29" i="5"/>
  <c r="P30" i="9" l="1"/>
  <c r="Q30" i="9" s="1"/>
  <c r="U29" i="9"/>
  <c r="U29" i="8"/>
  <c r="P30" i="8"/>
  <c r="U29" i="5"/>
  <c r="P30" i="5"/>
  <c r="O30" i="9" l="1"/>
  <c r="R30" i="9" s="1"/>
  <c r="T30" i="9" s="1"/>
  <c r="Q30" i="8"/>
  <c r="O30" i="8" s="1"/>
  <c r="Q30" i="5"/>
  <c r="O30" i="5" s="1"/>
  <c r="U30" i="9" l="1"/>
  <c r="P31" i="9"/>
  <c r="R31" i="9" s="1"/>
  <c r="T31" i="9" s="1"/>
  <c r="R30" i="8"/>
  <c r="T30" i="8" s="1"/>
  <c r="R30" i="5"/>
  <c r="T30" i="5" s="1"/>
  <c r="Q31" i="9" l="1"/>
  <c r="U30" i="8"/>
  <c r="P31" i="8"/>
  <c r="R31" i="8" s="1"/>
  <c r="T31" i="8" s="1"/>
  <c r="P32" i="8" s="1"/>
  <c r="P32" i="9"/>
  <c r="U31" i="9"/>
  <c r="P31" i="5"/>
  <c r="Q31" i="5" s="1"/>
  <c r="U30" i="5"/>
  <c r="R32" i="8" l="1"/>
  <c r="T32" i="8" s="1"/>
  <c r="U32" i="8" s="1"/>
  <c r="Q32" i="8"/>
  <c r="Q31" i="8"/>
  <c r="Q32" i="9"/>
  <c r="L32" i="9" s="1"/>
  <c r="U31" i="8"/>
  <c r="P33" i="8"/>
  <c r="R31" i="5"/>
  <c r="T31" i="5" s="1"/>
  <c r="P32" i="5" s="1"/>
  <c r="K32" i="9" l="1"/>
  <c r="M32" i="9" s="1"/>
  <c r="O32" i="9" s="1"/>
  <c r="R32" i="9" s="1"/>
  <c r="T32" i="9" s="1"/>
  <c r="Q33" i="8"/>
  <c r="L33" i="8" s="1"/>
  <c r="U31" i="5"/>
  <c r="Q32" i="5"/>
  <c r="L32" i="5" s="1"/>
  <c r="U32" i="9" l="1"/>
  <c r="P33" i="9"/>
  <c r="K33" i="8"/>
  <c r="M33" i="8" s="1"/>
  <c r="O33" i="8" s="1"/>
  <c r="R33" i="8" s="1"/>
  <c r="T33" i="8" s="1"/>
  <c r="K32" i="5"/>
  <c r="M32" i="5" s="1"/>
  <c r="O32" i="5" s="1"/>
  <c r="R32" i="5" s="1"/>
  <c r="T32" i="5" s="1"/>
  <c r="Q33" i="9" l="1"/>
  <c r="R33" i="9"/>
  <c r="T33" i="9" s="1"/>
  <c r="P34" i="8"/>
  <c r="U33" i="8"/>
  <c r="P33" i="5"/>
  <c r="U32" i="5"/>
  <c r="P34" i="9" l="1"/>
  <c r="U33" i="9"/>
  <c r="R34" i="8"/>
  <c r="T34" i="8" s="1"/>
  <c r="Q34" i="8"/>
  <c r="Q33" i="5"/>
  <c r="R33" i="5"/>
  <c r="T33" i="5" s="1"/>
  <c r="Q34" i="9" l="1"/>
  <c r="L34" i="9" s="1"/>
  <c r="U34" i="8"/>
  <c r="P35" i="8"/>
  <c r="U33" i="5"/>
  <c r="P34" i="5"/>
  <c r="K34" i="9" l="1"/>
  <c r="M34" i="9" s="1"/>
  <c r="O34" i="9" s="1"/>
  <c r="R34" i="9" s="1"/>
  <c r="T34" i="9" s="1"/>
  <c r="Q35" i="8"/>
  <c r="L35" i="8" s="1"/>
  <c r="Q34" i="5"/>
  <c r="L34" i="5" s="1"/>
  <c r="U34" i="9" l="1"/>
  <c r="P35" i="9"/>
  <c r="K35" i="8"/>
  <c r="M35" i="8" s="1"/>
  <c r="O35" i="8" s="1"/>
  <c r="R35" i="8" s="1"/>
  <c r="T35" i="8" s="1"/>
  <c r="K34" i="5"/>
  <c r="M34" i="5" s="1"/>
  <c r="O34" i="5" s="1"/>
  <c r="R34" i="5" s="1"/>
  <c r="T34" i="5" s="1"/>
  <c r="Q35" i="9" l="1"/>
  <c r="R35" i="9"/>
  <c r="R43" i="9" s="1"/>
  <c r="P36" i="8"/>
  <c r="U35" i="8"/>
  <c r="P35" i="5"/>
  <c r="U34" i="5"/>
  <c r="T35" i="9" l="1"/>
  <c r="U35" i="9" s="1"/>
  <c r="R44" i="9"/>
  <c r="R45" i="9" s="1"/>
  <c r="G4" i="9" s="1"/>
  <c r="R36" i="8"/>
  <c r="R44" i="8" s="1"/>
  <c r="Q36" i="8"/>
  <c r="R35" i="5"/>
  <c r="R43" i="5" s="1"/>
  <c r="Q35" i="5"/>
  <c r="T36" i="8" l="1"/>
  <c r="U36" i="8" s="1"/>
  <c r="O7" i="9"/>
  <c r="N21" i="9"/>
  <c r="G9" i="9"/>
  <c r="G10" i="9" s="1"/>
  <c r="G5" i="9"/>
  <c r="R45" i="8"/>
  <c r="R46" i="8" s="1"/>
  <c r="R44" i="5"/>
  <c r="R45" i="5" s="1"/>
  <c r="T35" i="5"/>
  <c r="U35" i="5" s="1"/>
  <c r="N7" i="9" l="1"/>
  <c r="O3" i="9"/>
  <c r="G9" i="8"/>
  <c r="G10" i="8" s="1"/>
  <c r="O7" i="8"/>
  <c r="N21" i="8"/>
  <c r="G4" i="8"/>
  <c r="G5" i="8" s="1"/>
  <c r="O7" i="5"/>
  <c r="N21" i="5"/>
  <c r="G9" i="5"/>
  <c r="G10" i="5" s="1"/>
  <c r="G4" i="5"/>
  <c r="G5" i="5" s="1"/>
  <c r="P6" i="9" l="1"/>
  <c r="N3" i="9"/>
  <c r="O13" i="9"/>
  <c r="N13" i="9" s="1"/>
  <c r="O10" i="9"/>
  <c r="N10" i="9" s="1"/>
  <c r="P4" i="9"/>
  <c r="P5" i="9"/>
  <c r="P7" i="9"/>
  <c r="N7" i="8"/>
  <c r="O3" i="8"/>
  <c r="N7" i="5"/>
  <c r="O3" i="5"/>
  <c r="P6" i="8" l="1"/>
  <c r="N3" i="8"/>
  <c r="P5" i="8"/>
  <c r="O13" i="8"/>
  <c r="N13" i="8" s="1"/>
  <c r="O10" i="8"/>
  <c r="N10" i="8" s="1"/>
  <c r="P4" i="8"/>
  <c r="P7" i="8"/>
  <c r="N3" i="5"/>
  <c r="O10" i="5"/>
  <c r="N10" i="5" s="1"/>
  <c r="O13" i="5"/>
  <c r="N13" i="5" s="1"/>
  <c r="P4" i="5"/>
  <c r="P6" i="5"/>
  <c r="P5" i="5"/>
  <c r="P7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tc={72043088-4EEA-4B76-A115-1F14FEBB1066}</author>
  </authors>
  <commentList>
    <comment ref="O30" authorId="0" shapeId="0" xr:uid="{72043088-4EEA-4B76-A115-1F14FEBB1066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tc={C211AC56-F2F0-43A2-BD14-9F16A0B70DFF}</author>
  </authors>
  <commentList>
    <comment ref="O30" authorId="0" shapeId="0" xr:uid="{C211AC56-F2F0-43A2-BD14-9F16A0B70DFF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tc={82EED540-B20D-478B-9D24-94725FE72743}</author>
  </authors>
  <commentList>
    <comment ref="O30" authorId="0" shapeId="0" xr:uid="{82EED540-B20D-478B-9D24-94725FE72743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tc={56C62712-80DB-43D5-AD5F-E3228C8A5BFB}</author>
  </authors>
  <commentList>
    <comment ref="O30" authorId="0" shapeId="0" xr:uid="{56C62712-80DB-43D5-AD5F-E3228C8A5BFB}">
      <text>
        <t>[Threaded comment]
Your version of Excel allows you to read this threaded comment; however, any edits to it will get removed if the file is opened in a newer version of Excel. Learn more: https://go.microsoft.com/fwlink/?linkid=870924
Comment:
    I can’t find where he got this equation from
Reply:
    Original equation: =1-Q30*C10*N30*(D30/60)
my equation: =1-(1/Q30)*C10*N30*(D30/60)</t>
      </text>
    </comment>
  </commentList>
</comments>
</file>

<file path=xl/sharedStrings.xml><?xml version="1.0" encoding="utf-8"?>
<sst xmlns="http://schemas.openxmlformats.org/spreadsheetml/2006/main" count="586" uniqueCount="139">
  <si>
    <t>Sizing Results</t>
  </si>
  <si>
    <t>Altitude</t>
  </si>
  <si>
    <t>Air Density</t>
  </si>
  <si>
    <t>Empty Weight Fraction Constants</t>
  </si>
  <si>
    <t>Gross Weight Convergence</t>
  </si>
  <si>
    <t>Empty W Frac</t>
  </si>
  <si>
    <t>kg</t>
  </si>
  <si>
    <t>lb</t>
  </si>
  <si>
    <t>%MTOW</t>
  </si>
  <si>
    <t>(ft)</t>
  </si>
  <si>
    <t>(slug/ft3)</t>
  </si>
  <si>
    <t>A</t>
  </si>
  <si>
    <t>Guess</t>
  </si>
  <si>
    <t>MTOW</t>
  </si>
  <si>
    <t>C</t>
  </si>
  <si>
    <t>Calc</t>
  </si>
  <si>
    <t>OEW</t>
  </si>
  <si>
    <t>Payload and Crew Weights</t>
  </si>
  <si>
    <t>Delta</t>
  </si>
  <si>
    <t>Payload</t>
  </si>
  <si>
    <t>Crew</t>
  </si>
  <si>
    <t>Fuel Convergence</t>
  </si>
  <si>
    <t>Fuel</t>
  </si>
  <si>
    <t>Design Point</t>
  </si>
  <si>
    <t>Available</t>
  </si>
  <si>
    <t>VBE</t>
  </si>
  <si>
    <t>VBR</t>
  </si>
  <si>
    <t>Takeoff wing loading</t>
  </si>
  <si>
    <t>psf</t>
  </si>
  <si>
    <t>Required</t>
  </si>
  <si>
    <t>Wing</t>
  </si>
  <si>
    <t>m2</t>
  </si>
  <si>
    <t>ft2</t>
  </si>
  <si>
    <t>knots to fps</t>
  </si>
  <si>
    <t>CL</t>
  </si>
  <si>
    <t>CD</t>
  </si>
  <si>
    <t>CL/CD</t>
  </si>
  <si>
    <t>CL12/CD</t>
  </si>
  <si>
    <t>Takeoff thrust-to-weight</t>
  </si>
  <si>
    <t>Excess</t>
  </si>
  <si>
    <t>Area</t>
  </si>
  <si>
    <t>Drag Polar</t>
  </si>
  <si>
    <t>CD0</t>
  </si>
  <si>
    <t>Engine</t>
  </si>
  <si>
    <t>kN</t>
  </si>
  <si>
    <t>lbf</t>
  </si>
  <si>
    <t>K1</t>
  </si>
  <si>
    <t>Thrust</t>
  </si>
  <si>
    <t>K2</t>
  </si>
  <si>
    <t>Convergence Flag</t>
  </si>
  <si>
    <t>CDR</t>
  </si>
  <si>
    <t>MISSION CALCULATIONS</t>
  </si>
  <si>
    <t>Fuel allowance (%)</t>
  </si>
  <si>
    <t>Mission Fuel Fraction</t>
  </si>
  <si>
    <t>SegNum</t>
  </si>
  <si>
    <t>Segment Name</t>
  </si>
  <si>
    <t xml:space="preserve">R </t>
  </si>
  <si>
    <t>Duration</t>
  </si>
  <si>
    <t>rho</t>
  </si>
  <si>
    <t>V</t>
  </si>
  <si>
    <t>L/D</t>
  </si>
  <si>
    <t>c-t</t>
  </si>
  <si>
    <t>MSWF</t>
  </si>
  <si>
    <t>Start Wt</t>
  </si>
  <si>
    <t xml:space="preserve">Start </t>
  </si>
  <si>
    <t>Fuel burn</t>
  </si>
  <si>
    <t>Wt Drop</t>
  </si>
  <si>
    <t>End Wt</t>
  </si>
  <si>
    <t>End</t>
  </si>
  <si>
    <t>(NM)</t>
  </si>
  <si>
    <t>(min)</t>
  </si>
  <si>
    <t>(KTAS)</t>
  </si>
  <si>
    <t>(1/h)</t>
  </si>
  <si>
    <t>(lb)</t>
  </si>
  <si>
    <t>Wt Fraction</t>
  </si>
  <si>
    <t>Start, warmup</t>
  </si>
  <si>
    <t>Takeoff</t>
  </si>
  <si>
    <t>Climb</t>
  </si>
  <si>
    <t>Cruise outbound</t>
  </si>
  <si>
    <t>Combat</t>
  </si>
  <si>
    <t>Drop/Fire Ordnance</t>
  </si>
  <si>
    <t>Cruise inbound</t>
  </si>
  <si>
    <t>Descend</t>
  </si>
  <si>
    <t>Loiter @sea level</t>
  </si>
  <si>
    <t>Landing, shutdown</t>
  </si>
  <si>
    <t>Fuel Required Calculation</t>
  </si>
  <si>
    <t>Fuel Burn</t>
  </si>
  <si>
    <t>Allowance</t>
  </si>
  <si>
    <t>Fuel Reqd</t>
  </si>
  <si>
    <t>Descend to SL</t>
  </si>
  <si>
    <t>Fill out the table on the right based on the converged weights from the contraining mission and the parameters in the left table.</t>
  </si>
  <si>
    <t>% MTOW</t>
  </si>
  <si>
    <t>Payload + Crew (fixed)</t>
  </si>
  <si>
    <t>Engine Sizing</t>
  </si>
  <si>
    <t>Thrust-to-weight</t>
  </si>
  <si>
    <t>kg/kg</t>
  </si>
  <si>
    <t>lbf/lbm</t>
  </si>
  <si>
    <t>Wing Sizing</t>
  </si>
  <si>
    <t>Wing Loading</t>
  </si>
  <si>
    <t>kg/m2</t>
  </si>
  <si>
    <t>lb/ft2</t>
  </si>
  <si>
    <t>Fuselage length sizing constants</t>
  </si>
  <si>
    <t>a</t>
  </si>
  <si>
    <t>Span</t>
  </si>
  <si>
    <t>m</t>
  </si>
  <si>
    <t>ft</t>
  </si>
  <si>
    <t>c</t>
  </si>
  <si>
    <t>Root Chord</t>
  </si>
  <si>
    <t>Tip Chord</t>
  </si>
  <si>
    <t>Selected Design Parameters</t>
  </si>
  <si>
    <t>Aspect Ratio</t>
  </si>
  <si>
    <t>Wing aspect ratio</t>
  </si>
  <si>
    <t>Taper Ratio</t>
  </si>
  <si>
    <t>Wing taper ratio</t>
  </si>
  <si>
    <t>HT aspect ratio</t>
  </si>
  <si>
    <t>Fuselage Sizing</t>
  </si>
  <si>
    <t>HT taper ratio</t>
  </si>
  <si>
    <t>Length</t>
  </si>
  <si>
    <t>HT tail volume ratio</t>
  </si>
  <si>
    <t>HT TailArm/FusLength</t>
  </si>
  <si>
    <t>Horizontal Stabilizer Sizing</t>
  </si>
  <si>
    <t>VT aspect ratio</t>
  </si>
  <si>
    <t>Tail Volume Ratio</t>
  </si>
  <si>
    <t>VT taper ratio</t>
  </si>
  <si>
    <t>Moment arm</t>
  </si>
  <si>
    <t>VT tail volume ratio</t>
  </si>
  <si>
    <t>VT TailArm/FusLength</t>
  </si>
  <si>
    <t>Vertical Stabilizer Sizing</t>
  </si>
  <si>
    <t>Climb to 30k ft</t>
  </si>
  <si>
    <t>Climb to 30 kft</t>
  </si>
  <si>
    <t>Loiter @ 10 kft</t>
  </si>
  <si>
    <t>Loiter @ 30000 ft</t>
  </si>
  <si>
    <t>Loiter @10000 ft</t>
  </si>
  <si>
    <t>Loiter @ 10000 ft</t>
  </si>
  <si>
    <t>Fixed Empty Weight</t>
  </si>
  <si>
    <t>Acd</t>
  </si>
  <si>
    <t>AN</t>
  </si>
  <si>
    <t>Sd</t>
  </si>
  <si>
    <t>SNd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</si>
</sst>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"/>
    <numFmt numFmtId="166" formatCode="0.0000"/>
    <numFmt numFmtId="167" formatCode="#,##0.0"/>
    <numFmt numFmtId="168" formatCode="0.000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93">
    <xf numFmtId="0" fontId="0" fillId="0" borderId="0" xfId="0"/>
    <xf numFmtId="0" fontId="0" fillId="0" borderId="1" xfId="0" applyBorder="1"/>
    <xf numFmtId="0" fontId="2" fillId="0" borderId="1" xfId="0" applyFont="1" applyBorder="1"/>
    <xf numFmtId="10" fontId="2" fillId="3" borderId="1" xfId="0" applyNumberFormat="1" applyFont="1" applyFill="1" applyBorder="1"/>
    <xf numFmtId="0" fontId="2" fillId="5" borderId="1" xfId="0" applyFont="1" applyFill="1" applyBorder="1"/>
    <xf numFmtId="0" fontId="0" fillId="3" borderId="1" xfId="0" applyFill="1" applyBorder="1"/>
    <xf numFmtId="0" fontId="0" fillId="6" borderId="1" xfId="0" applyFill="1" applyBorder="1"/>
    <xf numFmtId="0" fontId="2" fillId="3" borderId="1" xfId="0" applyFont="1" applyFill="1" applyBorder="1"/>
    <xf numFmtId="0" fontId="2" fillId="0" borderId="4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8" xfId="0" applyFont="1" applyBorder="1" applyAlignment="1">
      <alignment horizontal="center"/>
    </xf>
    <xf numFmtId="164" fontId="2" fillId="5" borderId="8" xfId="0" applyNumberFormat="1" applyFont="1" applyFill="1" applyBorder="1" applyAlignment="1">
      <alignment horizontal="center"/>
    </xf>
    <xf numFmtId="165" fontId="2" fillId="5" borderId="0" xfId="0" applyNumberFormat="1" applyFont="1" applyFill="1" applyAlignment="1">
      <alignment horizontal="center"/>
    </xf>
    <xf numFmtId="0" fontId="0" fillId="0" borderId="8" xfId="0" applyBorder="1"/>
    <xf numFmtId="0" fontId="0" fillId="0" borderId="5" xfId="0" applyBorder="1"/>
    <xf numFmtId="0" fontId="0" fillId="0" borderId="9" xfId="0" applyBorder="1"/>
    <xf numFmtId="0" fontId="2" fillId="0" borderId="0" xfId="0" applyFont="1"/>
    <xf numFmtId="1" fontId="0" fillId="3" borderId="1" xfId="0" applyNumberFormat="1" applyFill="1" applyBorder="1"/>
    <xf numFmtId="166" fontId="0" fillId="3" borderId="1" xfId="0" applyNumberFormat="1" applyFill="1" applyBorder="1"/>
    <xf numFmtId="2" fontId="0" fillId="3" borderId="1" xfId="0" applyNumberFormat="1" applyFill="1" applyBorder="1"/>
    <xf numFmtId="3" fontId="2" fillId="5" borderId="0" xfId="0" applyNumberFormat="1" applyFont="1" applyFill="1" applyAlignment="1">
      <alignment horizontal="center"/>
    </xf>
    <xf numFmtId="167" fontId="2" fillId="5" borderId="0" xfId="0" applyNumberFormat="1" applyFont="1" applyFill="1" applyAlignment="1">
      <alignment horizontal="center"/>
    </xf>
    <xf numFmtId="0" fontId="0" fillId="0" borderId="1" xfId="0" applyBorder="1" applyAlignment="1">
      <alignment horizontal="center"/>
    </xf>
    <xf numFmtId="2" fontId="2" fillId="3" borderId="1" xfId="0" applyNumberFormat="1" applyFont="1" applyFill="1" applyBorder="1"/>
    <xf numFmtId="2" fontId="0" fillId="6" borderId="1" xfId="0" applyNumberFormat="1" applyFill="1" applyBorder="1"/>
    <xf numFmtId="1" fontId="0" fillId="6" borderId="1" xfId="0" applyNumberFormat="1" applyFill="1" applyBorder="1"/>
    <xf numFmtId="166" fontId="0" fillId="6" borderId="1" xfId="0" applyNumberFormat="1" applyFill="1" applyBorder="1"/>
    <xf numFmtId="165" fontId="0" fillId="3" borderId="1" xfId="0" applyNumberFormat="1" applyFill="1" applyBorder="1"/>
    <xf numFmtId="165" fontId="0" fillId="6" borderId="1" xfId="0" applyNumberFormat="1" applyFill="1" applyBorder="1"/>
    <xf numFmtId="165" fontId="0" fillId="5" borderId="1" xfId="0" applyNumberFormat="1" applyFill="1" applyBorder="1"/>
    <xf numFmtId="3" fontId="0" fillId="0" borderId="1" xfId="0" applyNumberFormat="1" applyBorder="1"/>
    <xf numFmtId="3" fontId="0" fillId="3" borderId="1" xfId="0" applyNumberFormat="1" applyFill="1" applyBorder="1"/>
    <xf numFmtId="165" fontId="0" fillId="0" borderId="1" xfId="0" applyNumberForma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13" xfId="0" applyFont="1" applyBorder="1"/>
    <xf numFmtId="0" fontId="2" fillId="7" borderId="13" xfId="0" applyFont="1" applyFill="1" applyBorder="1"/>
    <xf numFmtId="0" fontId="2" fillId="0" borderId="14" xfId="0" applyFont="1" applyBorder="1"/>
    <xf numFmtId="0" fontId="2" fillId="7" borderId="14" xfId="0" applyFont="1" applyFill="1" applyBorder="1"/>
    <xf numFmtId="0" fontId="2" fillId="0" borderId="15" xfId="0" applyFont="1" applyBorder="1"/>
    <xf numFmtId="0" fontId="2" fillId="3" borderId="15" xfId="0" applyFont="1" applyFill="1" applyBorder="1"/>
    <xf numFmtId="0" fontId="2" fillId="3" borderId="13" xfId="0" applyFont="1" applyFill="1" applyBorder="1"/>
    <xf numFmtId="0" fontId="2" fillId="3" borderId="14" xfId="0" applyFont="1" applyFill="1" applyBorder="1"/>
    <xf numFmtId="0" fontId="2" fillId="0" borderId="13" xfId="0" applyFont="1" applyBorder="1" applyAlignment="1">
      <alignment horizontal="center"/>
    </xf>
    <xf numFmtId="1" fontId="2" fillId="5" borderId="13" xfId="0" applyNumberFormat="1" applyFont="1" applyFill="1" applyBorder="1" applyAlignment="1">
      <alignment horizontal="center"/>
    </xf>
    <xf numFmtId="10" fontId="2" fillId="5" borderId="13" xfId="0" applyNumberFormat="1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1" fontId="2" fillId="5" borderId="14" xfId="0" applyNumberFormat="1" applyFont="1" applyFill="1" applyBorder="1" applyAlignment="1">
      <alignment horizontal="center"/>
    </xf>
    <xf numFmtId="10" fontId="2" fillId="5" borderId="14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center"/>
    </xf>
    <xf numFmtId="10" fontId="2" fillId="0" borderId="0" xfId="0" applyNumberFormat="1" applyFont="1" applyAlignment="1">
      <alignment horizontal="center"/>
    </xf>
    <xf numFmtId="0" fontId="2" fillId="6" borderId="13" xfId="0" applyFont="1" applyFill="1" applyBorder="1" applyAlignment="1">
      <alignment horizontal="center"/>
    </xf>
    <xf numFmtId="2" fontId="2" fillId="6" borderId="13" xfId="0" applyNumberFormat="1" applyFont="1" applyFill="1" applyBorder="1" applyAlignment="1">
      <alignment horizontal="center"/>
    </xf>
    <xf numFmtId="165" fontId="2" fillId="5" borderId="13" xfId="0" applyNumberFormat="1" applyFont="1" applyFill="1" applyBorder="1" applyAlignment="1">
      <alignment horizontal="center"/>
    </xf>
    <xf numFmtId="2" fontId="2" fillId="5" borderId="13" xfId="0" applyNumberFormat="1" applyFont="1" applyFill="1" applyBorder="1" applyAlignment="1">
      <alignment horizontal="center"/>
    </xf>
    <xf numFmtId="0" fontId="2" fillId="8" borderId="13" xfId="0" applyFont="1" applyFill="1" applyBorder="1" applyAlignment="1">
      <alignment horizontal="center"/>
    </xf>
    <xf numFmtId="0" fontId="2" fillId="6" borderId="14" xfId="0" applyFont="1" applyFill="1" applyBorder="1" applyAlignment="1">
      <alignment horizontal="center"/>
    </xf>
    <xf numFmtId="0" fontId="2" fillId="8" borderId="14" xfId="0" applyFont="1" applyFill="1" applyBorder="1" applyAlignment="1">
      <alignment horizontal="center"/>
    </xf>
    <xf numFmtId="2" fontId="2" fillId="5" borderId="14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168" fontId="0" fillId="6" borderId="1" xfId="0" applyNumberFormat="1" applyFill="1" applyBorder="1"/>
    <xf numFmtId="3" fontId="0" fillId="0" borderId="1" xfId="0" applyNumberFormat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13" xfId="0" applyBorder="1"/>
    <xf numFmtId="166" fontId="0" fillId="0" borderId="1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0" fillId="0" borderId="4" xfId="0" applyBorder="1"/>
    <xf numFmtId="168" fontId="0" fillId="3" borderId="1" xfId="0" applyNumberFormat="1" applyFill="1" applyBorder="1"/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 vertical="top" wrapText="1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/>
    </xf>
    <xf numFmtId="3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1" fontId="0" fillId="0" borderId="0" xfId="0" applyNumberFormat="1" applyFont="1" applyFill="1" applyAlignment="1">
      <alignment horizontal="center"/>
    </xf>
  </cellXfs>
  <cellStyles count="1">
    <cellStyle name="Normal" xfId="0" builtinId="0"/>
  </cellStyles>
  <dxfs count="8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0336DC3-39B4-AD8D-97F1-129DACBD49C4}"/>
            </a:ext>
          </a:extLst>
        </xdr:cNvPr>
        <xdr:cNvSpPr/>
      </xdr:nvSpPr>
      <xdr:spPr>
        <a:xfrm>
          <a:off x="6733722" y="233814"/>
          <a:ext cx="558119" cy="69487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6951147-640E-45D1-9C9E-732D079330EC}"/>
            </a:ext>
          </a:extLst>
        </xdr:cNvPr>
        <xdr:cNvSpPr/>
      </xdr:nvSpPr>
      <xdr:spPr>
        <a:xfrm>
          <a:off x="6744834" y="234494"/>
          <a:ext cx="559026" cy="704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3DF3A2B-CB0D-4954-8D4B-DC327E2015CA}"/>
            </a:ext>
          </a:extLst>
        </xdr:cNvPr>
        <xdr:cNvSpPr/>
      </xdr:nvSpPr>
      <xdr:spPr>
        <a:xfrm>
          <a:off x="6744834" y="234494"/>
          <a:ext cx="559026" cy="70485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58284</xdr:colOff>
      <xdr:row>1</xdr:row>
      <xdr:rowOff>51251</xdr:rowOff>
    </xdr:from>
    <xdr:to>
      <xdr:col>8</xdr:col>
      <xdr:colOff>616403</xdr:colOff>
      <xdr:row>5</xdr:row>
      <xdr:rowOff>15874</xdr:rowOff>
    </xdr:to>
    <xdr:sp macro="[0]!GoalSeek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4AB3B11-7612-4F73-AE0A-64EA3051A713}"/>
            </a:ext>
          </a:extLst>
        </xdr:cNvPr>
        <xdr:cNvSpPr/>
      </xdr:nvSpPr>
      <xdr:spPr>
        <a:xfrm>
          <a:off x="6890884" y="236671"/>
          <a:ext cx="556849" cy="69741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</a:rPr>
            <a:t>Goal</a:t>
          </a:r>
          <a:r>
            <a:rPr lang="en-US" sz="1200" b="1" baseline="0">
              <a:solidFill>
                <a:sysClr val="windowText" lastClr="000000"/>
              </a:solidFill>
            </a:rPr>
            <a:t> Seek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Owen Reynolds" id="{7A6AEADC-AA83-41C6-8321-31341EB92F47}" userId="S::owr0001@auburn.edu::2fd6d747-7cd8-4c5e-a8e4-02df4298f30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72043088-4EEA-4B76-A115-1F14FEBB1066}">
    <text>I can’t find where he got this equation from</text>
  </threadedComment>
  <threadedComment ref="O30" dT="2025-11-26T09:30:23.06" personId="{7A6AEADC-AA83-41C6-8321-31341EB92F47}" id="{3363D3F0-5761-407D-B949-D98CF2AA4C15}" parentId="{72043088-4EEA-4B76-A115-1F14FEBB1066}">
    <text>Original equation: =1-Q30*C10*N30*(D30/60)
my equation: =1-(1/Q30)*C10*N30*(D30/60)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C211AC56-F2F0-43A2-BD14-9F16A0B70DFF}">
    <text>I can’t find where he got this equation from</text>
  </threadedComment>
  <threadedComment ref="O30" dT="2025-11-26T09:30:23.06" personId="{7A6AEADC-AA83-41C6-8321-31341EB92F47}" id="{747AD858-2D64-40F5-960D-692F4AC59F18}" parentId="{C211AC56-F2F0-43A2-BD14-9F16A0B70DFF}">
    <text>Original equation: =1-Q30*C10*N30*(D30/60)
my equation: =1-(1/Q30)*C10*N30*(D30/60)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82EED540-B20D-478B-9D24-94725FE72743}">
    <text>I can’t find where he got this equation from</text>
  </threadedComment>
  <threadedComment ref="O30" dT="2025-11-26T09:30:23.06" personId="{7A6AEADC-AA83-41C6-8321-31341EB92F47}" id="{AFC7495A-C167-431D-9F3D-CC277C383236}" parentId="{82EED540-B20D-478B-9D24-94725FE72743}">
    <text>Original equation: =1-Q30*C10*N30*(D30/60)
my equation: =1-(1/Q30)*C10*N30*(D30/60)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O30" dT="2025-11-26T09:21:33.92" personId="{7A6AEADC-AA83-41C6-8321-31341EB92F47}" id="{56C62712-80DB-43D5-AD5F-E3228C8A5BFB}">
    <text>I can’t find where he got this equation from</text>
  </threadedComment>
  <threadedComment ref="O30" dT="2025-11-26T09:30:23.06" personId="{7A6AEADC-AA83-41C6-8321-31341EB92F47}" id="{779F4978-9E1E-4404-8761-E42269D26127}" parentId="{56C62712-80DB-43D5-AD5F-E3228C8A5BFB}">
    <text>Original equation: =1-Q30*C10*N30*(D30/60)
my equation: =1-(1/Q30)*C10*N30*(D30/60)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F5FBA-B989-4845-A934-A1C05A10FA07}">
  <sheetPr codeName="Sheet1"/>
  <dimension ref="A1:AC45"/>
  <sheetViews>
    <sheetView zoomScale="75" zoomScaleNormal="75" workbookViewId="0">
      <pane xSplit="2" topLeftCell="C1" activePane="topRight" state="frozen"/>
      <selection pane="topRight" activeCell="O31" sqref="O31"/>
    </sheetView>
  </sheetViews>
  <sheetFormatPr defaultRowHeight="14.5" x14ac:dyDescent="0.35"/>
  <cols>
    <col min="2" max="2" width="31" customWidth="1"/>
    <col min="3" max="3" width="8.81640625" customWidth="1"/>
    <col min="6" max="6" width="10.1796875" customWidth="1"/>
    <col min="15" max="15" width="13.81640625" bestFit="1" customWidth="1"/>
    <col min="16" max="16" width="11.54296875" bestFit="1" customWidth="1"/>
    <col min="17" max="17" width="11.54296875" customWidth="1"/>
    <col min="18" max="18" width="13" bestFit="1" customWidth="1"/>
    <col min="19" max="19" width="10.1796875" customWidth="1"/>
    <col min="21" max="21" width="11.1796875" customWidth="1"/>
    <col min="23" max="23" width="11.81640625" customWidth="1"/>
    <col min="25" max="25" width="15.1796875" customWidth="1"/>
    <col min="27" max="27" width="13.54296875" customWidth="1"/>
    <col min="29" max="29" width="11.453125" customWidth="1"/>
  </cols>
  <sheetData>
    <row r="1" spans="2:29" x14ac:dyDescent="0.35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5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K2" s="88" t="s">
        <v>134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5">
      <c r="B3" s="2" t="s">
        <v>11</v>
      </c>
      <c r="C3" s="7">
        <v>2.34</v>
      </c>
      <c r="D3" s="2"/>
      <c r="F3" s="1" t="s">
        <v>12</v>
      </c>
      <c r="G3" s="31">
        <v>55948.994120292693</v>
      </c>
      <c r="H3" s="1" t="s">
        <v>7</v>
      </c>
      <c r="J3" s="79"/>
      <c r="K3" s="88"/>
      <c r="M3" s="8" t="s">
        <v>13</v>
      </c>
      <c r="N3" s="20">
        <f>O3*0.4536</f>
        <v>25378.463732963504</v>
      </c>
      <c r="O3" s="20">
        <f>SUM(O4:O7)</f>
        <v>55948.994120289914</v>
      </c>
      <c r="P3" s="10"/>
      <c r="R3" s="22">
        <v>0</v>
      </c>
      <c r="S3" s="22">
        <v>2.3768923674999999E-3</v>
      </c>
    </row>
    <row r="4" spans="2:29" x14ac:dyDescent="0.35">
      <c r="B4" s="2" t="s">
        <v>14</v>
      </c>
      <c r="C4" s="7">
        <v>-0.13</v>
      </c>
      <c r="D4" s="2"/>
      <c r="F4" s="1" t="s">
        <v>15</v>
      </c>
      <c r="G4" s="30">
        <f>(O5+O6+O4+R45)</f>
        <v>55948.994120289914</v>
      </c>
      <c r="H4" s="1" t="s">
        <v>7</v>
      </c>
      <c r="J4" s="1">
        <f>C3*$G$3^C4</f>
        <v>0.56494069596926377</v>
      </c>
      <c r="K4">
        <v>34540</v>
      </c>
      <c r="M4" s="8" t="s">
        <v>16</v>
      </c>
      <c r="N4" s="20">
        <f t="shared" ref="N4:N7" si="0">O4*0.4536</f>
        <v>15667.344000000001</v>
      </c>
      <c r="O4">
        <v>34540</v>
      </c>
      <c r="P4" s="11">
        <f>O4/$O$3</f>
        <v>0.61734800675306623</v>
      </c>
      <c r="R4" s="22">
        <v>15000</v>
      </c>
      <c r="S4" s="22">
        <v>1.495443163997E-3</v>
      </c>
    </row>
    <row r="5" spans="2:29" x14ac:dyDescent="0.35">
      <c r="B5" s="78" t="s">
        <v>17</v>
      </c>
      <c r="C5" s="78"/>
      <c r="D5" s="78"/>
      <c r="F5" s="1" t="s">
        <v>18</v>
      </c>
      <c r="G5" s="65">
        <f>G3-G4</f>
        <v>2.7794158086180687E-9</v>
      </c>
      <c r="H5" s="1" t="s">
        <v>7</v>
      </c>
      <c r="M5" s="8" t="s">
        <v>19</v>
      </c>
      <c r="N5" s="20">
        <f t="shared" si="0"/>
        <v>1084.104</v>
      </c>
      <c r="O5" s="20">
        <f>C6</f>
        <v>2390</v>
      </c>
      <c r="P5" s="11">
        <f>O5/$O$3</f>
        <v>4.2717479332363299E-2</v>
      </c>
      <c r="R5" s="22">
        <v>25000</v>
      </c>
      <c r="S5" s="22">
        <v>1.0648904130489999E-3</v>
      </c>
    </row>
    <row r="6" spans="2:29" x14ac:dyDescent="0.35">
      <c r="B6" s="2" t="s">
        <v>19</v>
      </c>
      <c r="C6" s="7">
        <v>2390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5.3620266944389072E-3</v>
      </c>
      <c r="R6" s="22">
        <v>35000</v>
      </c>
      <c r="S6" s="22">
        <v>7.3628591926299997E-4</v>
      </c>
    </row>
    <row r="7" spans="2:29" x14ac:dyDescent="0.35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8490.9357329635041</v>
      </c>
      <c r="O7" s="20">
        <f>R45</f>
        <v>18718.994120289914</v>
      </c>
      <c r="P7" s="11">
        <f>O7/$O$3</f>
        <v>0.33457248722013155</v>
      </c>
    </row>
    <row r="8" spans="2:29" x14ac:dyDescent="0.35">
      <c r="B8" s="78" t="s">
        <v>23</v>
      </c>
      <c r="C8" s="78"/>
      <c r="D8" s="78"/>
      <c r="F8" s="1" t="s">
        <v>24</v>
      </c>
      <c r="G8" s="32">
        <f>G3-O4-O5-O6</f>
        <v>18718.994120292693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5">
      <c r="B9" s="2" t="s">
        <v>27</v>
      </c>
      <c r="C9" s="7">
        <v>115</v>
      </c>
      <c r="D9" s="2" t="s">
        <v>28</v>
      </c>
      <c r="F9" s="1" t="s">
        <v>29</v>
      </c>
      <c r="G9" s="32">
        <f>R45</f>
        <v>18718.994120289914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5">
      <c r="B10" s="2" t="s">
        <v>38</v>
      </c>
      <c r="C10" s="23">
        <v>0.75</v>
      </c>
      <c r="D10" s="2"/>
      <c r="F10" s="1" t="s">
        <v>39</v>
      </c>
      <c r="G10" s="32">
        <f>G8-G9</f>
        <v>2.7794158086180687E-9</v>
      </c>
      <c r="H10" s="1" t="s">
        <v>7</v>
      </c>
      <c r="M10" s="8" t="s">
        <v>40</v>
      </c>
      <c r="N10" s="12">
        <f>O10/3.28^2</f>
        <v>45.221686528698243</v>
      </c>
      <c r="O10" s="21">
        <f>O3/C9</f>
        <v>486.51299235034708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5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2.5031250000000001E-2</v>
      </c>
      <c r="Y11" s="67">
        <f t="shared" ref="Y11:Y44" si="2">W11/X11</f>
        <v>0.99875156054931336</v>
      </c>
      <c r="Z11" s="67">
        <f t="shared" ref="Z11:Z44" si="3">W11^(1/2)/X11</f>
        <v>6.3166594959667997</v>
      </c>
    </row>
    <row r="12" spans="2:29" x14ac:dyDescent="0.35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2.5125000000000001E-2</v>
      </c>
      <c r="Y12" s="67">
        <f t="shared" si="2"/>
        <v>1.9900497512437811</v>
      </c>
      <c r="Z12" s="67">
        <f t="shared" si="3"/>
        <v>8.8997730447752819</v>
      </c>
    </row>
    <row r="13" spans="2:29" x14ac:dyDescent="0.35">
      <c r="B13" s="2" t="s">
        <v>46</v>
      </c>
      <c r="C13" s="2">
        <v>0</v>
      </c>
      <c r="D13" s="2"/>
      <c r="M13" s="8" t="s">
        <v>47</v>
      </c>
      <c r="N13" s="12">
        <f>O13*0.00444822</f>
        <v>186.65507596931701</v>
      </c>
      <c r="O13" s="20">
        <f>C10*O3</f>
        <v>41961.745590217433</v>
      </c>
      <c r="P13" s="13"/>
      <c r="V13" s="9"/>
      <c r="W13" s="68">
        <v>7.4999999999999997E-2</v>
      </c>
      <c r="X13" s="67">
        <f t="shared" si="1"/>
        <v>2.5281250000000002E-2</v>
      </c>
      <c r="Y13" s="67">
        <f t="shared" si="2"/>
        <v>2.9666254635352285</v>
      </c>
      <c r="Z13" s="67">
        <f t="shared" si="3"/>
        <v>10.832584573649761</v>
      </c>
    </row>
    <row r="14" spans="2:29" x14ac:dyDescent="0.35">
      <c r="B14" s="2" t="s">
        <v>48</v>
      </c>
      <c r="C14" s="2">
        <v>0.05</v>
      </c>
      <c r="D14" s="2"/>
      <c r="M14" s="14"/>
      <c r="N14" s="83" t="s">
        <v>49</v>
      </c>
      <c r="O14" s="83"/>
      <c r="P14" s="15">
        <f>AC34</f>
        <v>0</v>
      </c>
      <c r="W14" s="68">
        <v>0.1</v>
      </c>
      <c r="X14" s="67">
        <f t="shared" si="1"/>
        <v>2.5500000000000002E-2</v>
      </c>
      <c r="Y14" s="67">
        <f t="shared" si="2"/>
        <v>3.9215686274509802</v>
      </c>
      <c r="Z14" s="67">
        <f t="shared" si="3"/>
        <v>12.401088863405409</v>
      </c>
    </row>
    <row r="15" spans="2:29" x14ac:dyDescent="0.35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2.5781250000000002E-2</v>
      </c>
      <c r="Y15" s="67">
        <f t="shared" si="2"/>
        <v>4.8484848484848477</v>
      </c>
      <c r="Z15" s="67">
        <f t="shared" si="3"/>
        <v>13.713586059375467</v>
      </c>
      <c r="AA15" s="33"/>
      <c r="AB15" s="33"/>
      <c r="AC15" s="33"/>
    </row>
    <row r="16" spans="2:29" x14ac:dyDescent="0.35">
      <c r="B16" s="16"/>
      <c r="C16" s="16"/>
      <c r="D16" s="16"/>
      <c r="W16" s="68">
        <v>0.15</v>
      </c>
      <c r="X16" s="67">
        <f t="shared" si="1"/>
        <v>2.6125000000000002E-2</v>
      </c>
      <c r="Y16" s="67">
        <f t="shared" si="2"/>
        <v>5.7416267942583721</v>
      </c>
      <c r="Z16" s="67">
        <f t="shared" si="3"/>
        <v>14.824816636200637</v>
      </c>
      <c r="AA16" s="33"/>
      <c r="AB16" s="33"/>
      <c r="AC16" s="33"/>
    </row>
    <row r="17" spans="1:29" x14ac:dyDescent="0.35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2.6531250000000003E-2</v>
      </c>
      <c r="Y17" s="67">
        <f t="shared" si="2"/>
        <v>6.5959952885747928</v>
      </c>
      <c r="Z17" s="67">
        <f t="shared" si="3"/>
        <v>15.767444551878926</v>
      </c>
      <c r="AA17" s="33"/>
      <c r="AB17" s="33"/>
      <c r="AC17" s="33"/>
    </row>
    <row r="18" spans="1:29" x14ac:dyDescent="0.35">
      <c r="B18" s="16"/>
      <c r="C18" s="16"/>
      <c r="D18" s="16"/>
      <c r="V18" s="33"/>
      <c r="W18" s="68">
        <v>0.2</v>
      </c>
      <c r="X18" s="67">
        <f t="shared" si="1"/>
        <v>2.7000000000000003E-2</v>
      </c>
      <c r="Y18" s="67">
        <f t="shared" si="2"/>
        <v>7.4074074074074066</v>
      </c>
      <c r="Z18" s="67">
        <f t="shared" si="3"/>
        <v>16.563466499998441</v>
      </c>
      <c r="AA18" s="33"/>
      <c r="AB18" s="33"/>
      <c r="AC18" s="33"/>
    </row>
    <row r="19" spans="1:29" x14ac:dyDescent="0.35">
      <c r="V19" s="33"/>
      <c r="W19" s="68">
        <v>0.22500000000000001</v>
      </c>
      <c r="X19" s="67">
        <f t="shared" si="1"/>
        <v>2.753125E-2</v>
      </c>
      <c r="Y19" s="67">
        <f t="shared" si="2"/>
        <v>8.172531214528945</v>
      </c>
      <c r="Z19" s="67">
        <f t="shared" si="3"/>
        <v>17.229208591155754</v>
      </c>
      <c r="AA19" s="33"/>
      <c r="AB19" s="33"/>
      <c r="AC19" s="33"/>
    </row>
    <row r="20" spans="1:29" x14ac:dyDescent="0.35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1"/>
        <v>2.8125000000000001E-2</v>
      </c>
      <c r="Y20" s="67">
        <f t="shared" si="2"/>
        <v>8.8888888888888893</v>
      </c>
      <c r="Z20" s="67">
        <f t="shared" si="3"/>
        <v>17.777777777777779</v>
      </c>
      <c r="AA20" s="33"/>
      <c r="AB20" s="33"/>
      <c r="AC20" s="33"/>
    </row>
    <row r="21" spans="1:29" x14ac:dyDescent="0.35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R45/P25</f>
        <v>0.33457248722011496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2.8781250000000001E-2</v>
      </c>
      <c r="Y21" s="67">
        <f t="shared" si="2"/>
        <v>9.5548317046688389</v>
      </c>
      <c r="Z21" s="67">
        <f t="shared" si="3"/>
        <v>18.220349153878853</v>
      </c>
      <c r="AA21" s="33"/>
      <c r="AB21" s="33"/>
      <c r="AC21" s="33"/>
    </row>
    <row r="22" spans="1:29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2.9500000000000002E-2</v>
      </c>
      <c r="Y22" s="67">
        <f t="shared" si="2"/>
        <v>10.169491525423728</v>
      </c>
      <c r="Z22" s="67">
        <f t="shared" si="3"/>
        <v>18.566866356107322</v>
      </c>
      <c r="AA22" s="33"/>
      <c r="AB22" s="33"/>
      <c r="AC22" s="33"/>
    </row>
    <row r="23" spans="1:29" x14ac:dyDescent="0.35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3.0281250000000003E-2</v>
      </c>
      <c r="Y23" s="67">
        <f t="shared" si="2"/>
        <v>10.732714138286893</v>
      </c>
      <c r="Z23" s="67">
        <f t="shared" si="3"/>
        <v>18.826426007828903</v>
      </c>
      <c r="AA23" s="33"/>
      <c r="AB23" s="33"/>
      <c r="AC23" s="33"/>
    </row>
    <row r="24" spans="1:29" x14ac:dyDescent="0.35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3.1125E-2</v>
      </c>
      <c r="Y24" s="67">
        <f t="shared" si="2"/>
        <v>11.244979919678714</v>
      </c>
      <c r="Z24" s="67">
        <f t="shared" si="3"/>
        <v>19.007485246906395</v>
      </c>
      <c r="AA24" s="33"/>
      <c r="AB24" s="33"/>
      <c r="AC24" s="33"/>
    </row>
    <row r="25" spans="1:29" x14ac:dyDescent="0.35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55948.994120292693</v>
      </c>
      <c r="Q25" s="18">
        <f t="shared" ref="Q25:Q35" si="4">P25/$P$25</f>
        <v>1</v>
      </c>
      <c r="R25" s="27">
        <f t="shared" ref="R25:R35" si="5">P25*(1-O25)</f>
        <v>279.74497060146371</v>
      </c>
      <c r="S25" s="6">
        <v>0</v>
      </c>
      <c r="T25" s="29">
        <f t="shared" ref="T25:T35" si="6">P25-R25-S25</f>
        <v>55669.249149691226</v>
      </c>
      <c r="U25" s="18">
        <f t="shared" ref="U25:U35" si="7">T25/$P$25</f>
        <v>0.995</v>
      </c>
      <c r="V25" s="33"/>
      <c r="W25" s="68">
        <v>0.375</v>
      </c>
      <c r="X25" s="67">
        <f t="shared" si="1"/>
        <v>3.2031250000000004E-2</v>
      </c>
      <c r="Y25" s="67">
        <f t="shared" si="2"/>
        <v>11.70731707317073</v>
      </c>
      <c r="Z25" s="67">
        <f t="shared" si="3"/>
        <v>19.117968724161386</v>
      </c>
      <c r="AA25" s="33"/>
      <c r="AB25" s="33"/>
      <c r="AC25" s="33"/>
    </row>
    <row r="26" spans="1:29" x14ac:dyDescent="0.35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55669.249149691226</v>
      </c>
      <c r="Q26" s="18">
        <f t="shared" si="4"/>
        <v>0.995</v>
      </c>
      <c r="R26" s="27">
        <f t="shared" si="5"/>
        <v>556.69249149691279</v>
      </c>
      <c r="S26" s="6">
        <v>0</v>
      </c>
      <c r="T26" s="29">
        <f t="shared" si="6"/>
        <v>55112.556658194313</v>
      </c>
      <c r="U26" s="18">
        <f t="shared" si="7"/>
        <v>0.98504999999999998</v>
      </c>
      <c r="V26" s="33"/>
      <c r="W26" s="68">
        <v>0.4</v>
      </c>
      <c r="X26" s="67">
        <f t="shared" si="1"/>
        <v>3.3000000000000002E-2</v>
      </c>
      <c r="Y26" s="67">
        <f t="shared" si="2"/>
        <v>12.121212121212121</v>
      </c>
      <c r="Z26" s="67">
        <f t="shared" si="3"/>
        <v>19.165319152535631</v>
      </c>
      <c r="AA26" s="33"/>
      <c r="AB26" s="33"/>
      <c r="AC26" s="33"/>
    </row>
    <row r="27" spans="1:29" x14ac:dyDescent="0.35">
      <c r="A27" s="1">
        <v>3</v>
      </c>
      <c r="B27" s="5" t="s">
        <v>77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55112.556658194313</v>
      </c>
      <c r="Q27" s="18">
        <f t="shared" si="4"/>
        <v>0.98504999999999998</v>
      </c>
      <c r="R27" s="27">
        <f t="shared" si="5"/>
        <v>1102.2511331638873</v>
      </c>
      <c r="S27" s="6">
        <v>0</v>
      </c>
      <c r="T27" s="29">
        <f t="shared" si="6"/>
        <v>54010.305525030424</v>
      </c>
      <c r="U27" s="18">
        <f t="shared" si="7"/>
        <v>0.9653489999999999</v>
      </c>
      <c r="V27" s="33"/>
      <c r="W27" s="68">
        <v>0.42499999999999999</v>
      </c>
      <c r="X27" s="67">
        <f t="shared" si="1"/>
        <v>3.4031249999999999E-2</v>
      </c>
      <c r="Y27" s="67">
        <f t="shared" si="2"/>
        <v>12.488521579430671</v>
      </c>
      <c r="Z27" s="67">
        <f t="shared" si="3"/>
        <v>19.156517627776378</v>
      </c>
      <c r="AA27" s="33"/>
      <c r="AB27" s="33"/>
      <c r="AC27" s="33"/>
    </row>
    <row r="28" spans="1:29" x14ac:dyDescent="0.35">
      <c r="A28" s="1">
        <v>4</v>
      </c>
      <c r="B28" s="5" t="s">
        <v>78</v>
      </c>
      <c r="C28" s="5">
        <v>700</v>
      </c>
      <c r="D28" s="5"/>
      <c r="E28" s="5">
        <v>8.8999999999999995E-4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467.90484141043174</v>
      </c>
      <c r="M28" s="24">
        <f>J28/K28</f>
        <v>12.121212121212121</v>
      </c>
      <c r="N28" s="19">
        <v>0.85</v>
      </c>
      <c r="O28" s="64">
        <f>EXP(-6076.12*C28*(N28/3600)/(1.68781*L28*M28))</f>
        <v>0.90040625704728994</v>
      </c>
      <c r="P28" s="27">
        <f t="shared" ref="P28:P35" si="8">T27</f>
        <v>54010.305525030424</v>
      </c>
      <c r="Q28" s="18">
        <f t="shared" si="4"/>
        <v>0.9653489999999999</v>
      </c>
      <c r="R28" s="27">
        <f t="shared" si="5"/>
        <v>5379.0884852572162</v>
      </c>
      <c r="S28" s="6">
        <v>0</v>
      </c>
      <c r="T28" s="29">
        <f t="shared" si="6"/>
        <v>48631.217039773212</v>
      </c>
      <c r="U28" s="18">
        <f t="shared" si="7"/>
        <v>0.86920627983434429</v>
      </c>
      <c r="V28" s="33"/>
      <c r="W28" s="68">
        <v>0.45</v>
      </c>
      <c r="X28" s="67">
        <f t="shared" si="1"/>
        <v>3.5125000000000003E-2</v>
      </c>
      <c r="Y28" s="67">
        <f t="shared" si="2"/>
        <v>12.811387900355871</v>
      </c>
      <c r="Z28" s="67">
        <f t="shared" si="3"/>
        <v>19.098089487542687</v>
      </c>
      <c r="AA28" s="33"/>
      <c r="AB28" s="33"/>
      <c r="AC28" s="33"/>
    </row>
    <row r="29" spans="1:29" x14ac:dyDescent="0.35">
      <c r="A29" s="1">
        <v>5</v>
      </c>
      <c r="B29" s="5" t="s">
        <v>131</v>
      </c>
      <c r="C29" s="5"/>
      <c r="D29" s="5">
        <v>15</v>
      </c>
      <c r="E29" s="5">
        <v>8.8999999999999995E-4</v>
      </c>
      <c r="F29" s="5">
        <f>C12</f>
        <v>2.5000000000000001E-2</v>
      </c>
      <c r="G29" s="5">
        <v>0</v>
      </c>
      <c r="H29" s="5">
        <f>C14</f>
        <v>0.05</v>
      </c>
      <c r="I29" s="5">
        <v>0</v>
      </c>
      <c r="J29" s="72">
        <v>0.7</v>
      </c>
      <c r="K29" s="26">
        <f>F29+G29*J29+H29*J29^2+I29</f>
        <v>4.9500000000000002E-2</v>
      </c>
      <c r="L29" s="25">
        <f t="shared" ref="L29:L34" si="9">SQRT(2*Q29*$C$9/(E29*J29))/$S$9</f>
        <v>335.62767672042457</v>
      </c>
      <c r="M29" s="24">
        <f>J29/K29</f>
        <v>14.14141414141414</v>
      </c>
      <c r="N29" s="19">
        <v>0.75</v>
      </c>
      <c r="O29" s="64">
        <f>EXP(-(D29*60)*(N29/3600)/(M29))</f>
        <v>0.98682858382150818</v>
      </c>
      <c r="P29" s="27">
        <f t="shared" si="8"/>
        <v>48631.217039773212</v>
      </c>
      <c r="Q29" s="18">
        <f t="shared" si="4"/>
        <v>0.86920627983434429</v>
      </c>
      <c r="R29" s="27">
        <f t="shared" si="5"/>
        <v>640.54199889741619</v>
      </c>
      <c r="S29" s="6">
        <v>0</v>
      </c>
      <c r="T29" s="29">
        <f t="shared" si="6"/>
        <v>47990.675040875794</v>
      </c>
      <c r="U29" s="18">
        <f t="shared" si="7"/>
        <v>0.85775760217768748</v>
      </c>
      <c r="V29" s="33"/>
      <c r="W29" s="68">
        <v>0.47499999999999998</v>
      </c>
      <c r="X29" s="67">
        <f t="shared" si="1"/>
        <v>3.6281250000000001E-2</v>
      </c>
      <c r="Y29" s="67">
        <f t="shared" si="2"/>
        <v>13.092161929371231</v>
      </c>
      <c r="Z29" s="67">
        <f t="shared" si="3"/>
        <v>18.996105084706592</v>
      </c>
      <c r="AA29" s="33"/>
      <c r="AB29" s="33"/>
      <c r="AC29" s="33"/>
    </row>
    <row r="30" spans="1:29" x14ac:dyDescent="0.35">
      <c r="A30" s="1">
        <v>6</v>
      </c>
      <c r="B30" s="5" t="s">
        <v>79</v>
      </c>
      <c r="C30" s="5"/>
      <c r="D30" s="5">
        <v>4</v>
      </c>
      <c r="E30" s="5"/>
      <c r="F30" s="5"/>
      <c r="G30" s="5"/>
      <c r="H30" s="5"/>
      <c r="I30" s="5"/>
      <c r="J30" s="72"/>
      <c r="K30" s="19"/>
      <c r="L30" s="19"/>
      <c r="M30" s="19"/>
      <c r="N30" s="19">
        <v>1.85</v>
      </c>
      <c r="O30" s="64">
        <f>1-(Q30)*C10*N30*(D30/60)</f>
        <v>0.92065742179856391</v>
      </c>
      <c r="P30" s="27">
        <f t="shared" si="8"/>
        <v>47990.675040875794</v>
      </c>
      <c r="Q30" s="18">
        <f t="shared" si="4"/>
        <v>0.85775760217768748</v>
      </c>
      <c r="R30" s="27">
        <f t="shared" si="5"/>
        <v>3807.7038873703946</v>
      </c>
      <c r="S30" s="6">
        <v>0</v>
      </c>
      <c r="T30" s="29">
        <f t="shared" si="6"/>
        <v>44182.971153505401</v>
      </c>
      <c r="U30" s="18">
        <f t="shared" si="7"/>
        <v>0.78970090254902803</v>
      </c>
      <c r="V30" s="33"/>
      <c r="W30" s="68">
        <v>0.5</v>
      </c>
      <c r="X30" s="67">
        <f t="shared" si="1"/>
        <v>3.7500000000000006E-2</v>
      </c>
      <c r="Y30" s="67">
        <f t="shared" si="2"/>
        <v>13.333333333333332</v>
      </c>
      <c r="Z30" s="67">
        <f t="shared" si="3"/>
        <v>18.856180831641264</v>
      </c>
      <c r="AA30" s="33"/>
      <c r="AB30" s="33"/>
      <c r="AC30" s="33"/>
    </row>
    <row r="31" spans="1:29" x14ac:dyDescent="0.35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9"/>
      <c r="M31" s="19"/>
      <c r="N31" s="19">
        <v>0</v>
      </c>
      <c r="O31" s="5">
        <v>1</v>
      </c>
      <c r="P31" s="27">
        <f t="shared" si="8"/>
        <v>44182.971153505401</v>
      </c>
      <c r="Q31" s="18">
        <f t="shared" si="4"/>
        <v>0.78970090254902803</v>
      </c>
      <c r="R31" s="27">
        <f t="shared" si="5"/>
        <v>0</v>
      </c>
      <c r="S31" s="6">
        <v>2390</v>
      </c>
      <c r="T31" s="29">
        <f t="shared" si="6"/>
        <v>41792.971153505401</v>
      </c>
      <c r="U31" s="18">
        <f t="shared" si="7"/>
        <v>0.74698342321666689</v>
      </c>
      <c r="V31" s="33"/>
      <c r="W31" s="68">
        <v>0.52500000000000002</v>
      </c>
      <c r="X31" s="67">
        <f t="shared" si="1"/>
        <v>3.8781250000000003E-2</v>
      </c>
      <c r="Y31" s="67">
        <f t="shared" si="2"/>
        <v>13.53746978243352</v>
      </c>
      <c r="Z31" s="67">
        <f t="shared" si="3"/>
        <v>18.683483314990411</v>
      </c>
      <c r="AA31" s="33"/>
      <c r="AB31" s="33"/>
      <c r="AC31" s="33"/>
    </row>
    <row r="32" spans="1:29" x14ac:dyDescent="0.35">
      <c r="A32" s="1">
        <v>8</v>
      </c>
      <c r="B32" s="5" t="s">
        <v>81</v>
      </c>
      <c r="C32" s="5">
        <v>700</v>
      </c>
      <c r="D32" s="5"/>
      <c r="E32" s="5">
        <v>8.8999999999999995E-4</v>
      </c>
      <c r="F32" s="5">
        <f>C12</f>
        <v>2.5000000000000001E-2</v>
      </c>
      <c r="G32" s="5">
        <v>0</v>
      </c>
      <c r="H32" s="5">
        <f>C14</f>
        <v>0.05</v>
      </c>
      <c r="I32" s="5">
        <v>0</v>
      </c>
      <c r="J32" s="72">
        <v>0.4</v>
      </c>
      <c r="K32" s="26">
        <f>F32+G32*J32+H32*J32^2+I32</f>
        <v>3.3000000000000002E-2</v>
      </c>
      <c r="L32" s="25">
        <f t="shared" si="9"/>
        <v>411.59571561290096</v>
      </c>
      <c r="M32" s="24">
        <f>J32/K32</f>
        <v>12.121212121212121</v>
      </c>
      <c r="N32" s="19">
        <v>0.85</v>
      </c>
      <c r="O32" s="64">
        <f>EXP(-6076.12*C32*(N32/3600)/(1.68781*L32*M32))</f>
        <v>0.88757564807449185</v>
      </c>
      <c r="P32" s="27">
        <f t="shared" si="8"/>
        <v>41792.971153505401</v>
      </c>
      <c r="Q32" s="18">
        <f t="shared" si="4"/>
        <v>0.74698342321666689</v>
      </c>
      <c r="R32" s="27">
        <f t="shared" si="5"/>
        <v>4698.5476969743013</v>
      </c>
      <c r="S32" s="6">
        <v>0</v>
      </c>
      <c r="T32" s="29">
        <f t="shared" si="6"/>
        <v>37094.423456531098</v>
      </c>
      <c r="U32" s="18">
        <f t="shared" si="7"/>
        <v>0.66300429596243549</v>
      </c>
      <c r="V32" s="33"/>
      <c r="W32" s="68">
        <v>0.55000000000000004</v>
      </c>
      <c r="X32" s="67">
        <f t="shared" si="1"/>
        <v>4.0125000000000008E-2</v>
      </c>
      <c r="Y32" s="67">
        <f t="shared" si="2"/>
        <v>13.707165109034266</v>
      </c>
      <c r="Z32" s="67">
        <f t="shared" si="3"/>
        <v>18.482737662543705</v>
      </c>
      <c r="AA32" s="33"/>
      <c r="AB32" s="33"/>
      <c r="AC32" s="33"/>
    </row>
    <row r="33" spans="1:29" x14ac:dyDescent="0.35">
      <c r="A33" s="1">
        <v>9</v>
      </c>
      <c r="B33" s="5" t="s">
        <v>82</v>
      </c>
      <c r="C33" s="5"/>
      <c r="D33" s="5"/>
      <c r="E33" s="5"/>
      <c r="F33" s="5"/>
      <c r="G33" s="5"/>
      <c r="H33" s="5"/>
      <c r="I33" s="5"/>
      <c r="J33" s="72"/>
      <c r="K33" s="18"/>
      <c r="L33" s="19"/>
      <c r="M33" s="19"/>
      <c r="N33" s="19">
        <v>0.85</v>
      </c>
      <c r="O33" s="5">
        <v>0.99</v>
      </c>
      <c r="P33" s="27">
        <f t="shared" si="8"/>
        <v>37094.423456531098</v>
      </c>
      <c r="Q33" s="18">
        <f t="shared" si="4"/>
        <v>0.66300429596243549</v>
      </c>
      <c r="R33" s="27">
        <f t="shared" si="5"/>
        <v>370.94423456531132</v>
      </c>
      <c r="S33" s="6">
        <v>0</v>
      </c>
      <c r="T33" s="29">
        <f t="shared" si="6"/>
        <v>36723.47922196579</v>
      </c>
      <c r="U33" s="18">
        <f t="shared" si="7"/>
        <v>0.65637425300281116</v>
      </c>
      <c r="V33" s="33"/>
      <c r="W33" s="68">
        <v>0.57499999999999996</v>
      </c>
      <c r="X33" s="67">
        <f t="shared" si="1"/>
        <v>4.1531249999999999E-2</v>
      </c>
      <c r="Y33" s="67">
        <f t="shared" si="2"/>
        <v>13.844996237772762</v>
      </c>
      <c r="Z33" s="67">
        <f t="shared" si="3"/>
        <v>18.258240346850986</v>
      </c>
      <c r="AA33" s="33"/>
      <c r="AB33" s="33"/>
      <c r="AC33" s="33"/>
    </row>
    <row r="34" spans="1:29" x14ac:dyDescent="0.35">
      <c r="A34" s="1">
        <v>10</v>
      </c>
      <c r="B34" s="5" t="s">
        <v>133</v>
      </c>
      <c r="C34" s="5"/>
      <c r="D34" s="5">
        <v>20</v>
      </c>
      <c r="E34" s="5">
        <v>1.7600000000000001E-3</v>
      </c>
      <c r="F34" s="5">
        <f>C12</f>
        <v>2.5000000000000001E-2</v>
      </c>
      <c r="G34" s="5">
        <v>0</v>
      </c>
      <c r="H34" s="5">
        <f>C14</f>
        <v>0.05</v>
      </c>
      <c r="I34" s="5">
        <v>0</v>
      </c>
      <c r="J34" s="72">
        <v>0.7</v>
      </c>
      <c r="K34" s="26">
        <f>F34+G34*J34+H34*J34^2+I34</f>
        <v>4.9500000000000002E-2</v>
      </c>
      <c r="L34" s="25">
        <f t="shared" si="9"/>
        <v>207.40096699647364</v>
      </c>
      <c r="M34" s="24">
        <f>J34/K34</f>
        <v>14.14141414141414</v>
      </c>
      <c r="N34" s="19">
        <v>0.75</v>
      </c>
      <c r="O34" s="64">
        <f>EXP(-(D34*60)*(N34/3600)/(M34))</f>
        <v>0.98247677771791597</v>
      </c>
      <c r="P34" s="27">
        <f t="shared" si="8"/>
        <v>36723.47922196579</v>
      </c>
      <c r="Q34" s="18">
        <f t="shared" si="4"/>
        <v>0.65637425300281116</v>
      </c>
      <c r="R34" s="27">
        <f t="shared" si="5"/>
        <v>643.51368937800078</v>
      </c>
      <c r="S34" s="6">
        <v>0</v>
      </c>
      <c r="T34" s="29">
        <f t="shared" si="6"/>
        <v>36079.96553258779</v>
      </c>
      <c r="U34" s="18">
        <f t="shared" si="7"/>
        <v>0.64487246106720608</v>
      </c>
      <c r="V34" s="33"/>
      <c r="W34" s="68">
        <v>0.6</v>
      </c>
      <c r="X34" s="67">
        <f t="shared" si="1"/>
        <v>4.2999999999999997E-2</v>
      </c>
      <c r="Y34" s="67">
        <f t="shared" si="2"/>
        <v>13.953488372093023</v>
      </c>
      <c r="Z34" s="67">
        <f t="shared" si="3"/>
        <v>18.01387602887171</v>
      </c>
      <c r="AA34" s="34"/>
      <c r="AB34" s="34"/>
      <c r="AC34" s="34"/>
    </row>
    <row r="35" spans="1:29" x14ac:dyDescent="0.35">
      <c r="A35" s="1">
        <v>11</v>
      </c>
      <c r="B35" s="5" t="s">
        <v>84</v>
      </c>
      <c r="C35" s="5"/>
      <c r="D35" s="5"/>
      <c r="E35" s="5"/>
      <c r="F35" s="5"/>
      <c r="G35" s="5"/>
      <c r="H35" s="5"/>
      <c r="I35" s="5"/>
      <c r="J35" s="72"/>
      <c r="K35" s="18"/>
      <c r="L35" s="5"/>
      <c r="M35" s="19"/>
      <c r="N35" s="19">
        <v>0.6</v>
      </c>
      <c r="O35" s="5">
        <v>0.995</v>
      </c>
      <c r="P35" s="27">
        <f t="shared" si="8"/>
        <v>36079.96553258779</v>
      </c>
      <c r="Q35" s="18">
        <f t="shared" si="4"/>
        <v>0.64487246106720608</v>
      </c>
      <c r="R35" s="27">
        <f t="shared" si="5"/>
        <v>180.39982766293912</v>
      </c>
      <c r="S35" s="6">
        <v>0</v>
      </c>
      <c r="T35" s="29">
        <f t="shared" si="6"/>
        <v>35899.565704924848</v>
      </c>
      <c r="U35" s="18">
        <f t="shared" si="7"/>
        <v>0.64164809876187001</v>
      </c>
      <c r="V35" s="34"/>
      <c r="W35" s="68">
        <v>0.625</v>
      </c>
      <c r="X35" s="67">
        <f t="shared" si="1"/>
        <v>4.4531250000000001E-2</v>
      </c>
      <c r="Y35" s="67">
        <f t="shared" si="2"/>
        <v>14.035087719298245</v>
      </c>
      <c r="Z35" s="67">
        <f t="shared" si="3"/>
        <v>17.753137741296165</v>
      </c>
    </row>
    <row r="36" spans="1:29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8">
        <v>0.65</v>
      </c>
      <c r="X36" s="67">
        <f t="shared" si="1"/>
        <v>4.6125000000000006E-2</v>
      </c>
      <c r="Y36" s="67">
        <f t="shared" si="2"/>
        <v>14.092140921409213</v>
      </c>
      <c r="Z36" s="67">
        <f t="shared" si="3"/>
        <v>17.479149589807154</v>
      </c>
    </row>
    <row r="37" spans="1:29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4.7781250000000004E-2</v>
      </c>
      <c r="Y37" s="67">
        <f t="shared" si="2"/>
        <v>14.126880313930673</v>
      </c>
      <c r="Z37" s="67">
        <f t="shared" si="3"/>
        <v>17.194691144701093</v>
      </c>
    </row>
    <row r="38" spans="1:29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28"/>
      <c r="S38" s="6"/>
      <c r="T38" s="6"/>
      <c r="U38" s="6"/>
      <c r="W38" s="68">
        <v>0.7</v>
      </c>
      <c r="X38" s="67">
        <f t="shared" si="1"/>
        <v>4.9500000000000002E-2</v>
      </c>
      <c r="Y38" s="67">
        <f t="shared" si="2"/>
        <v>14.14141414141414</v>
      </c>
      <c r="Z38" s="67">
        <f t="shared" si="3"/>
        <v>16.902222758264152</v>
      </c>
    </row>
    <row r="39" spans="1:29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5.128125E-2</v>
      </c>
      <c r="Y39" s="67">
        <f t="shared" si="2"/>
        <v>14.137720901889091</v>
      </c>
      <c r="Z39" s="67">
        <f t="shared" si="3"/>
        <v>16.603911142889846</v>
      </c>
    </row>
    <row r="40" spans="1:29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5.3125000000000006E-2</v>
      </c>
      <c r="Y40" s="67">
        <f t="shared" si="2"/>
        <v>14.117647058823527</v>
      </c>
      <c r="Z40" s="67">
        <f t="shared" si="3"/>
        <v>16.301654659471783</v>
      </c>
    </row>
    <row r="41" spans="1:29" x14ac:dyDescent="0.35">
      <c r="W41" s="68">
        <v>0.77500000000000002</v>
      </c>
      <c r="X41" s="67">
        <f t="shared" si="1"/>
        <v>5.5031250000000004E-2</v>
      </c>
      <c r="Y41" s="67">
        <f t="shared" si="2"/>
        <v>14.082907438955139</v>
      </c>
      <c r="Z41" s="67">
        <f t="shared" si="3"/>
        <v>15.997107881121188</v>
      </c>
    </row>
    <row r="42" spans="1:29" x14ac:dyDescent="0.35">
      <c r="Q42" s="80" t="s">
        <v>85</v>
      </c>
      <c r="R42" s="81"/>
      <c r="S42" s="82"/>
      <c r="W42" s="68">
        <v>0.8</v>
      </c>
      <c r="X42" s="67">
        <f t="shared" si="1"/>
        <v>5.7000000000000009E-2</v>
      </c>
      <c r="Y42" s="67">
        <f t="shared" si="2"/>
        <v>14.035087719298245</v>
      </c>
      <c r="Z42" s="67">
        <f t="shared" si="3"/>
        <v>15.691705105261679</v>
      </c>
    </row>
    <row r="43" spans="1:29" x14ac:dyDescent="0.35">
      <c r="Q43" s="1" t="s">
        <v>86</v>
      </c>
      <c r="R43" s="32">
        <f>SUM(R25:R40)</f>
        <v>17659.428415367842</v>
      </c>
      <c r="S43" s="1" t="s">
        <v>7</v>
      </c>
      <c r="W43" s="68">
        <v>0.82499999999999996</v>
      </c>
      <c r="X43" s="67">
        <f t="shared" si="1"/>
        <v>5.903125E-2</v>
      </c>
      <c r="Y43" s="67">
        <f t="shared" si="2"/>
        <v>13.975648491265218</v>
      </c>
      <c r="Z43" s="67">
        <f t="shared" si="3"/>
        <v>15.386682583025896</v>
      </c>
    </row>
    <row r="44" spans="1:29" x14ac:dyDescent="0.35">
      <c r="Q44" s="1" t="s">
        <v>87</v>
      </c>
      <c r="R44" s="32">
        <f>R43*C21</f>
        <v>1059.5657049220704</v>
      </c>
      <c r="S44" s="1" t="s">
        <v>7</v>
      </c>
      <c r="W44" s="68">
        <v>0.85</v>
      </c>
      <c r="X44" s="67">
        <f t="shared" si="1"/>
        <v>6.1124999999999999E-2</v>
      </c>
      <c r="Y44" s="67">
        <f t="shared" si="2"/>
        <v>13.905930470347649</v>
      </c>
      <c r="Z44" s="67">
        <f t="shared" si="3"/>
        <v>15.083099316634581</v>
      </c>
    </row>
    <row r="45" spans="1:29" x14ac:dyDescent="0.35">
      <c r="Q45" s="1" t="s">
        <v>88</v>
      </c>
      <c r="R45" s="32">
        <f>R43+R44</f>
        <v>18718.994120289914</v>
      </c>
      <c r="S45" s="1" t="s">
        <v>7</v>
      </c>
    </row>
  </sheetData>
  <mergeCells count="13">
    <mergeCell ref="Q42:S42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  <mergeCell ref="K2:K3"/>
  </mergeCells>
  <conditionalFormatting sqref="Y8:Y44">
    <cfRule type="top10" dxfId="7" priority="2" rank="1"/>
  </conditionalFormatting>
  <conditionalFormatting sqref="Z8:Z44">
    <cfRule type="top10" dxfId="6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AE671-5E61-450F-98EF-C357F38E42B6}">
  <sheetPr codeName="Sheet4"/>
  <dimension ref="A1:AC45"/>
  <sheetViews>
    <sheetView tabSelected="1" zoomScale="75" zoomScaleNormal="75" workbookViewId="0">
      <pane xSplit="2" topLeftCell="C1" activePane="topRight" state="frozen"/>
      <selection pane="topRight" activeCell="G44" sqref="G44"/>
    </sheetView>
  </sheetViews>
  <sheetFormatPr defaultRowHeight="14.5" x14ac:dyDescent="0.35"/>
  <cols>
    <col min="2" max="2" width="31" customWidth="1"/>
    <col min="3" max="3" width="8.81640625" customWidth="1"/>
    <col min="6" max="6" width="10.1796875" customWidth="1"/>
    <col min="15" max="15" width="13.81640625" bestFit="1" customWidth="1"/>
    <col min="16" max="16" width="11.54296875" bestFit="1" customWidth="1"/>
    <col min="17" max="17" width="11.54296875" customWidth="1"/>
    <col min="18" max="18" width="13" bestFit="1" customWidth="1"/>
    <col min="19" max="19" width="10.1796875" customWidth="1"/>
    <col min="21" max="21" width="11.1796875" customWidth="1"/>
    <col min="23" max="23" width="11.81640625" customWidth="1"/>
    <col min="25" max="25" width="15.1796875" customWidth="1"/>
    <col min="27" max="27" width="13.54296875" customWidth="1"/>
    <col min="29" max="29" width="11.453125" customWidth="1"/>
  </cols>
  <sheetData>
    <row r="1" spans="2:29" x14ac:dyDescent="0.35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5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K2" s="88" t="s">
        <v>134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5">
      <c r="B3" s="2" t="s">
        <v>11</v>
      </c>
      <c r="C3" s="7">
        <v>2.34</v>
      </c>
      <c r="D3" s="2"/>
      <c r="F3" s="1" t="s">
        <v>12</v>
      </c>
      <c r="G3" s="31">
        <v>49657.017466116333</v>
      </c>
      <c r="H3" s="1" t="s">
        <v>7</v>
      </c>
      <c r="J3" s="79"/>
      <c r="K3" s="88"/>
      <c r="M3" s="8" t="s">
        <v>13</v>
      </c>
      <c r="N3" s="20">
        <f>O3*0.4536</f>
        <v>22524.423122630375</v>
      </c>
      <c r="O3" s="20">
        <f>SUM(O4:O7)</f>
        <v>49657.017466116347</v>
      </c>
      <c r="P3" s="10"/>
      <c r="R3" s="22">
        <v>0</v>
      </c>
      <c r="S3" s="22">
        <v>2.3768923674999999E-3</v>
      </c>
    </row>
    <row r="4" spans="2:29" x14ac:dyDescent="0.35">
      <c r="B4" s="2" t="s">
        <v>14</v>
      </c>
      <c r="C4" s="7">
        <v>-0.13</v>
      </c>
      <c r="D4" s="2"/>
      <c r="F4" s="1" t="s">
        <v>15</v>
      </c>
      <c r="G4" s="30">
        <f>(O5+O6+O4+R45)</f>
        <v>49657.017466116347</v>
      </c>
      <c r="H4" s="1" t="s">
        <v>7</v>
      </c>
      <c r="J4" s="1">
        <f>C3*$G$3^C4</f>
        <v>0.57377071115016887</v>
      </c>
      <c r="K4">
        <v>34540</v>
      </c>
      <c r="M4" s="8" t="s">
        <v>16</v>
      </c>
      <c r="N4" s="20">
        <f t="shared" ref="N4:N7" si="0">O4*0.4536</f>
        <v>15667.344000000001</v>
      </c>
      <c r="O4">
        <v>34540</v>
      </c>
      <c r="P4" s="11">
        <f>O4/$O$3</f>
        <v>0.69557137666531221</v>
      </c>
      <c r="R4" s="22">
        <v>15000</v>
      </c>
      <c r="S4" s="22">
        <v>1.495443163997E-3</v>
      </c>
    </row>
    <row r="5" spans="2:29" x14ac:dyDescent="0.35">
      <c r="B5" s="78" t="s">
        <v>17</v>
      </c>
      <c r="C5" s="78"/>
      <c r="D5" s="78"/>
      <c r="F5" s="1" t="s">
        <v>18</v>
      </c>
      <c r="G5" s="65">
        <f>G3-G4</f>
        <v>0</v>
      </c>
      <c r="H5" s="1" t="s">
        <v>7</v>
      </c>
      <c r="M5" s="8" t="s">
        <v>19</v>
      </c>
      <c r="N5" s="20">
        <f t="shared" si="0"/>
        <v>1084.104</v>
      </c>
      <c r="O5" s="20">
        <f>C6</f>
        <v>2390</v>
      </c>
      <c r="P5" s="11">
        <f>O5/$O$3</f>
        <v>4.8130156057617141E-2</v>
      </c>
      <c r="R5" s="22">
        <v>25000</v>
      </c>
      <c r="S5" s="22">
        <v>1.0648904130489999E-3</v>
      </c>
    </row>
    <row r="6" spans="2:29" x14ac:dyDescent="0.35">
      <c r="B6" s="2" t="s">
        <v>19</v>
      </c>
      <c r="C6" s="7">
        <v>2390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6.0414421829644953E-3</v>
      </c>
      <c r="R6" s="22">
        <v>35000</v>
      </c>
      <c r="S6" s="22">
        <v>7.3628591926299997E-4</v>
      </c>
    </row>
    <row r="7" spans="2:29" x14ac:dyDescent="0.35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5636.8951226303734</v>
      </c>
      <c r="O7" s="20">
        <f>R45</f>
        <v>12427.017466116344</v>
      </c>
      <c r="P7" s="11">
        <f>O7/$O$3</f>
        <v>0.25025702509410608</v>
      </c>
    </row>
    <row r="8" spans="2:29" x14ac:dyDescent="0.35">
      <c r="B8" s="78" t="s">
        <v>23</v>
      </c>
      <c r="C8" s="78"/>
      <c r="D8" s="78"/>
      <c r="F8" s="1" t="s">
        <v>24</v>
      </c>
      <c r="G8" s="32">
        <f>G3-O4-O5-O6</f>
        <v>12427.017466116333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5">
      <c r="B9" s="2" t="s">
        <v>27</v>
      </c>
      <c r="C9" s="7">
        <v>115</v>
      </c>
      <c r="D9" s="2" t="s">
        <v>28</v>
      </c>
      <c r="F9" s="1" t="s">
        <v>29</v>
      </c>
      <c r="G9" s="32">
        <f>R45</f>
        <v>12427.017466116344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5">
      <c r="B10" s="2" t="s">
        <v>38</v>
      </c>
      <c r="C10" s="23">
        <v>0.75</v>
      </c>
      <c r="D10" s="2"/>
      <c r="F10" s="1" t="s">
        <v>39</v>
      </c>
      <c r="G10" s="32">
        <f>G8-G9</f>
        <v>0</v>
      </c>
      <c r="H10" s="1" t="s">
        <v>7</v>
      </c>
      <c r="M10" s="8" t="s">
        <v>40</v>
      </c>
      <c r="N10" s="12">
        <f>O10/3.28^2</f>
        <v>40.136093831728942</v>
      </c>
      <c r="O10" s="21">
        <f>O3/C9</f>
        <v>431.80015187927256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5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2.5031250000000001E-2</v>
      </c>
      <c r="Y11" s="67">
        <f t="shared" ref="Y11:Y44" si="2">W11/X11</f>
        <v>0.99875156054931336</v>
      </c>
      <c r="Z11" s="67">
        <f t="shared" ref="Z11:Z44" si="3">W11^(1/2)/X11</f>
        <v>6.3166594959667997</v>
      </c>
    </row>
    <row r="12" spans="2:29" x14ac:dyDescent="0.35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2.5125000000000001E-2</v>
      </c>
      <c r="Y12" s="67">
        <f t="shared" si="2"/>
        <v>1.9900497512437811</v>
      </c>
      <c r="Z12" s="67">
        <f t="shared" si="3"/>
        <v>8.8997730447752819</v>
      </c>
    </row>
    <row r="13" spans="2:29" x14ac:dyDescent="0.35">
      <c r="B13" s="2" t="s">
        <v>46</v>
      </c>
      <c r="C13" s="2">
        <v>0</v>
      </c>
      <c r="D13" s="2"/>
      <c r="M13" s="8" t="s">
        <v>47</v>
      </c>
      <c r="N13" s="12">
        <f>O13*0.00444822</f>
        <v>165.66400367484604</v>
      </c>
      <c r="O13" s="20">
        <f>C10*O3</f>
        <v>37242.763099587261</v>
      </c>
      <c r="P13" s="13"/>
      <c r="V13" s="9"/>
      <c r="W13" s="68">
        <v>7.4999999999999997E-2</v>
      </c>
      <c r="X13" s="67">
        <f t="shared" si="1"/>
        <v>2.5281250000000002E-2</v>
      </c>
      <c r="Y13" s="67">
        <f t="shared" si="2"/>
        <v>2.9666254635352285</v>
      </c>
      <c r="Z13" s="67">
        <f t="shared" si="3"/>
        <v>10.832584573649761</v>
      </c>
    </row>
    <row r="14" spans="2:29" x14ac:dyDescent="0.35">
      <c r="B14" s="2" t="s">
        <v>48</v>
      </c>
      <c r="C14" s="2">
        <v>0.05</v>
      </c>
      <c r="D14" s="2"/>
      <c r="M14" s="14"/>
      <c r="N14" s="83" t="s">
        <v>49</v>
      </c>
      <c r="O14" s="83"/>
      <c r="P14" s="15">
        <f>AC34</f>
        <v>0</v>
      </c>
      <c r="W14" s="68">
        <v>0.1</v>
      </c>
      <c r="X14" s="67">
        <f t="shared" si="1"/>
        <v>2.5500000000000002E-2</v>
      </c>
      <c r="Y14" s="67">
        <f t="shared" si="2"/>
        <v>3.9215686274509802</v>
      </c>
      <c r="Z14" s="67">
        <f t="shared" si="3"/>
        <v>12.401088863405409</v>
      </c>
    </row>
    <row r="15" spans="2:29" x14ac:dyDescent="0.35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2.5781250000000002E-2</v>
      </c>
      <c r="Y15" s="67">
        <f t="shared" si="2"/>
        <v>4.8484848484848477</v>
      </c>
      <c r="Z15" s="67">
        <f t="shared" si="3"/>
        <v>13.713586059375467</v>
      </c>
      <c r="AA15" s="33"/>
      <c r="AB15" s="33"/>
      <c r="AC15" s="33"/>
    </row>
    <row r="16" spans="2:29" x14ac:dyDescent="0.35">
      <c r="B16" s="16"/>
      <c r="C16" s="16"/>
      <c r="D16" s="16"/>
      <c r="W16" s="68">
        <v>0.15</v>
      </c>
      <c r="X16" s="67">
        <f t="shared" si="1"/>
        <v>2.6125000000000002E-2</v>
      </c>
      <c r="Y16" s="67">
        <f t="shared" si="2"/>
        <v>5.7416267942583721</v>
      </c>
      <c r="Z16" s="67">
        <f t="shared" si="3"/>
        <v>14.824816636200637</v>
      </c>
      <c r="AA16" s="33"/>
      <c r="AB16" s="33"/>
      <c r="AC16" s="33"/>
    </row>
    <row r="17" spans="1:29" x14ac:dyDescent="0.35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2.6531250000000003E-2</v>
      </c>
      <c r="Y17" s="67">
        <f t="shared" si="2"/>
        <v>6.5959952885747928</v>
      </c>
      <c r="Z17" s="67">
        <f t="shared" si="3"/>
        <v>15.767444551878926</v>
      </c>
      <c r="AA17" s="33"/>
      <c r="AB17" s="33"/>
      <c r="AC17" s="33"/>
    </row>
    <row r="18" spans="1:29" x14ac:dyDescent="0.35">
      <c r="B18" s="16"/>
      <c r="C18" s="16"/>
      <c r="D18" s="16"/>
      <c r="V18" s="33"/>
      <c r="W18" s="68">
        <v>0.2</v>
      </c>
      <c r="X18" s="67">
        <f t="shared" si="1"/>
        <v>2.7000000000000003E-2</v>
      </c>
      <c r="Y18" s="67">
        <f t="shared" si="2"/>
        <v>7.4074074074074066</v>
      </c>
      <c r="Z18" s="67">
        <f t="shared" si="3"/>
        <v>16.563466499998441</v>
      </c>
      <c r="AA18" s="33"/>
      <c r="AB18" s="33"/>
      <c r="AC18" s="33"/>
    </row>
    <row r="19" spans="1:29" x14ac:dyDescent="0.35">
      <c r="V19" s="33"/>
      <c r="W19" s="68">
        <v>0.22500000000000001</v>
      </c>
      <c r="X19" s="67">
        <f t="shared" si="1"/>
        <v>2.753125E-2</v>
      </c>
      <c r="Y19" s="67">
        <f t="shared" si="2"/>
        <v>8.172531214528945</v>
      </c>
      <c r="Z19" s="67">
        <f t="shared" si="3"/>
        <v>17.229208591155754</v>
      </c>
      <c r="AA19" s="33"/>
      <c r="AB19" s="33"/>
      <c r="AC19" s="33"/>
    </row>
    <row r="20" spans="1:29" x14ac:dyDescent="0.35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1"/>
        <v>2.8125000000000001E-2</v>
      </c>
      <c r="Y20" s="67">
        <f t="shared" si="2"/>
        <v>8.8888888888888893</v>
      </c>
      <c r="Z20" s="67">
        <f t="shared" si="3"/>
        <v>17.777777777777779</v>
      </c>
      <c r="AA20" s="33"/>
      <c r="AB20" s="33"/>
      <c r="AC20" s="33"/>
    </row>
    <row r="21" spans="1:29" x14ac:dyDescent="0.35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R45/P25</f>
        <v>0.25025702509410619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2.8781250000000001E-2</v>
      </c>
      <c r="Y21" s="67">
        <f t="shared" si="2"/>
        <v>9.5548317046688389</v>
      </c>
      <c r="Z21" s="67">
        <f t="shared" si="3"/>
        <v>18.220349153878853</v>
      </c>
      <c r="AA21" s="33"/>
      <c r="AB21" s="33"/>
      <c r="AC21" s="33"/>
    </row>
    <row r="22" spans="1:29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2.9500000000000002E-2</v>
      </c>
      <c r="Y22" s="67">
        <f t="shared" si="2"/>
        <v>10.169491525423728</v>
      </c>
      <c r="Z22" s="67">
        <f t="shared" si="3"/>
        <v>18.566866356107322</v>
      </c>
      <c r="AA22" s="33"/>
      <c r="AB22" s="33"/>
      <c r="AC22" s="33"/>
    </row>
    <row r="23" spans="1:29" x14ac:dyDescent="0.35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3.0281250000000003E-2</v>
      </c>
      <c r="Y23" s="67">
        <f t="shared" si="2"/>
        <v>10.732714138286893</v>
      </c>
      <c r="Z23" s="67">
        <f t="shared" si="3"/>
        <v>18.826426007828903</v>
      </c>
      <c r="AA23" s="33"/>
      <c r="AB23" s="33"/>
      <c r="AC23" s="33"/>
    </row>
    <row r="24" spans="1:29" x14ac:dyDescent="0.35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3.1125E-2</v>
      </c>
      <c r="Y24" s="67">
        <f t="shared" si="2"/>
        <v>11.244979919678714</v>
      </c>
      <c r="Z24" s="67">
        <f t="shared" si="3"/>
        <v>19.007485246906395</v>
      </c>
      <c r="AA24" s="33"/>
      <c r="AB24" s="33"/>
      <c r="AC24" s="33"/>
    </row>
    <row r="25" spans="1:29" x14ac:dyDescent="0.35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49657.017466116333</v>
      </c>
      <c r="Q25" s="18">
        <f t="shared" ref="Q25:Q35" si="4">P25/$P$25</f>
        <v>1</v>
      </c>
      <c r="R25" s="27">
        <f t="shared" ref="R25:R35" si="5">P25*(1-O25)</f>
        <v>248.28508733058189</v>
      </c>
      <c r="S25" s="6">
        <v>0</v>
      </c>
      <c r="T25" s="29">
        <f t="shared" ref="T25:T35" si="6">P25-R25-S25</f>
        <v>49408.732378785753</v>
      </c>
      <c r="U25" s="18">
        <f t="shared" ref="U25:U35" si="7">T25/$P$25</f>
        <v>0.995</v>
      </c>
      <c r="V25" s="33"/>
      <c r="W25" s="68">
        <v>0.375</v>
      </c>
      <c r="X25" s="67">
        <f t="shared" si="1"/>
        <v>3.2031250000000004E-2</v>
      </c>
      <c r="Y25" s="67">
        <f t="shared" si="2"/>
        <v>11.70731707317073</v>
      </c>
      <c r="Z25" s="67">
        <f t="shared" si="3"/>
        <v>19.117968724161386</v>
      </c>
      <c r="AA25" s="33"/>
      <c r="AB25" s="33"/>
      <c r="AC25" s="33"/>
    </row>
    <row r="26" spans="1:29" x14ac:dyDescent="0.35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49408.732378785753</v>
      </c>
      <c r="Q26" s="18">
        <f t="shared" si="4"/>
        <v>0.995</v>
      </c>
      <c r="R26" s="27">
        <f t="shared" si="5"/>
        <v>494.087323787858</v>
      </c>
      <c r="S26" s="6">
        <v>0</v>
      </c>
      <c r="T26" s="29">
        <f t="shared" si="6"/>
        <v>48914.645054997898</v>
      </c>
      <c r="U26" s="18">
        <f t="shared" si="7"/>
        <v>0.98505000000000009</v>
      </c>
      <c r="V26" s="33"/>
      <c r="W26" s="68">
        <v>0.4</v>
      </c>
      <c r="X26" s="67">
        <f t="shared" si="1"/>
        <v>3.3000000000000002E-2</v>
      </c>
      <c r="Y26" s="67">
        <f t="shared" si="2"/>
        <v>12.121212121212121</v>
      </c>
      <c r="Z26" s="67">
        <f t="shared" si="3"/>
        <v>19.165319152535631</v>
      </c>
      <c r="AA26" s="33"/>
      <c r="AB26" s="33"/>
      <c r="AC26" s="33"/>
    </row>
    <row r="27" spans="1:29" x14ac:dyDescent="0.35">
      <c r="A27" s="1">
        <v>3</v>
      </c>
      <c r="B27" s="5" t="s">
        <v>77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48914.645054997898</v>
      </c>
      <c r="Q27" s="18">
        <f t="shared" si="4"/>
        <v>0.98505000000000009</v>
      </c>
      <c r="R27" s="27">
        <f t="shared" si="5"/>
        <v>978.29290109995884</v>
      </c>
      <c r="S27" s="6">
        <v>0</v>
      </c>
      <c r="T27" s="29">
        <f t="shared" si="6"/>
        <v>47936.35215389794</v>
      </c>
      <c r="U27" s="18">
        <f t="shared" si="7"/>
        <v>0.96534900000000012</v>
      </c>
      <c r="V27" s="33"/>
      <c r="W27" s="68">
        <v>0.42499999999999999</v>
      </c>
      <c r="X27" s="67">
        <f t="shared" si="1"/>
        <v>3.4031249999999999E-2</v>
      </c>
      <c r="Y27" s="67">
        <f t="shared" si="2"/>
        <v>12.488521579430671</v>
      </c>
      <c r="Z27" s="67">
        <f t="shared" si="3"/>
        <v>19.156517627776378</v>
      </c>
      <c r="AA27" s="33"/>
      <c r="AB27" s="33"/>
      <c r="AC27" s="33"/>
    </row>
    <row r="28" spans="1:29" x14ac:dyDescent="0.35">
      <c r="A28" s="1">
        <v>4</v>
      </c>
      <c r="B28" s="5" t="s">
        <v>78</v>
      </c>
      <c r="C28" s="5">
        <v>700</v>
      </c>
      <c r="D28" s="5"/>
      <c r="E28" s="5">
        <v>8.8999999999999995E-4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467.9048414104318</v>
      </c>
      <c r="M28" s="24">
        <f>J28/K28</f>
        <v>12.121212121212121</v>
      </c>
      <c r="N28" s="19">
        <v>0.7</v>
      </c>
      <c r="O28" s="64">
        <f>EXP(-6076.12*C28*(N28/3600)/(1.68781*L28*M28))</f>
        <v>0.91723109279491</v>
      </c>
      <c r="P28" s="27">
        <f t="shared" ref="P28:P35" si="8">T27</f>
        <v>47936.35215389794</v>
      </c>
      <c r="Q28" s="18">
        <f t="shared" si="4"/>
        <v>0.96534900000000012</v>
      </c>
      <c r="R28" s="27">
        <f t="shared" si="5"/>
        <v>3967.6394831764951</v>
      </c>
      <c r="S28" s="6">
        <v>0</v>
      </c>
      <c r="T28" s="29">
        <f t="shared" si="6"/>
        <v>43968.712670721448</v>
      </c>
      <c r="U28" s="18">
        <f t="shared" si="7"/>
        <v>0.88544811819847369</v>
      </c>
      <c r="V28" s="33"/>
      <c r="W28" s="68">
        <v>0.45</v>
      </c>
      <c r="X28" s="67">
        <f t="shared" si="1"/>
        <v>3.5125000000000003E-2</v>
      </c>
      <c r="Y28" s="67">
        <f t="shared" si="2"/>
        <v>12.811387900355871</v>
      </c>
      <c r="Z28" s="67">
        <f t="shared" si="3"/>
        <v>19.098089487542687</v>
      </c>
      <c r="AA28" s="33"/>
      <c r="AB28" s="33"/>
      <c r="AC28" s="33"/>
    </row>
    <row r="29" spans="1:29" x14ac:dyDescent="0.35">
      <c r="A29" s="1">
        <v>5</v>
      </c>
      <c r="B29" s="5" t="s">
        <v>131</v>
      </c>
      <c r="C29" s="5"/>
      <c r="D29" s="5">
        <v>30</v>
      </c>
      <c r="E29" s="5">
        <v>8.8999999999999995E-4</v>
      </c>
      <c r="F29" s="5">
        <f>C12</f>
        <v>2.5000000000000001E-2</v>
      </c>
      <c r="G29" s="5">
        <v>0</v>
      </c>
      <c r="H29" s="5">
        <f>C14</f>
        <v>0.05</v>
      </c>
      <c r="I29" s="5">
        <v>0</v>
      </c>
      <c r="J29" s="72">
        <v>0.7</v>
      </c>
      <c r="K29" s="26">
        <f>F29+G29*J29+H29*J29^2+I29</f>
        <v>4.9500000000000002E-2</v>
      </c>
      <c r="L29" s="25">
        <f t="shared" ref="L29:L34" si="9">SQRT(2*Q29*$C$9/(E29*J29))/$S$9</f>
        <v>338.74890391521558</v>
      </c>
      <c r="M29" s="24">
        <f>J29/K29</f>
        <v>14.14141414141414</v>
      </c>
      <c r="N29" s="19">
        <v>0.7</v>
      </c>
      <c r="O29" s="64">
        <f>EXP(-(D29*60)*(N29/3600)/(M29))</f>
        <v>0.97555376998731458</v>
      </c>
      <c r="P29" s="27">
        <f t="shared" si="8"/>
        <v>43968.712670721448</v>
      </c>
      <c r="Q29" s="18">
        <f t="shared" si="4"/>
        <v>0.88544811819847369</v>
      </c>
      <c r="R29" s="27">
        <f t="shared" si="5"/>
        <v>1074.8692633101325</v>
      </c>
      <c r="S29" s="6">
        <v>0</v>
      </c>
      <c r="T29" s="29">
        <f t="shared" si="6"/>
        <v>42893.843407411317</v>
      </c>
      <c r="U29" s="18">
        <f t="shared" si="7"/>
        <v>0.8638022498366944</v>
      </c>
      <c r="V29" s="33"/>
      <c r="W29" s="68">
        <v>0.47499999999999998</v>
      </c>
      <c r="X29" s="67">
        <f t="shared" si="1"/>
        <v>3.6281250000000001E-2</v>
      </c>
      <c r="Y29" s="67">
        <f t="shared" si="2"/>
        <v>13.092161929371231</v>
      </c>
      <c r="Z29" s="67">
        <f t="shared" si="3"/>
        <v>18.996105084706592</v>
      </c>
      <c r="AA29" s="33"/>
      <c r="AB29" s="33"/>
      <c r="AC29" s="33"/>
    </row>
    <row r="30" spans="1:29" x14ac:dyDescent="0.35">
      <c r="A30" s="1">
        <v>6</v>
      </c>
      <c r="B30" s="5" t="s">
        <v>79</v>
      </c>
      <c r="C30" s="5"/>
      <c r="D30" s="5">
        <v>0</v>
      </c>
      <c r="E30" s="5"/>
      <c r="F30" s="5"/>
      <c r="G30" s="5"/>
      <c r="H30" s="5"/>
      <c r="I30" s="5"/>
      <c r="J30" s="72"/>
      <c r="K30" s="19"/>
      <c r="L30" s="19"/>
      <c r="M30" s="19"/>
      <c r="N30" s="19">
        <v>1.85</v>
      </c>
      <c r="O30" s="64">
        <f>1-(1/Q30)*C10*N30*(D30/60)</f>
        <v>1</v>
      </c>
      <c r="P30" s="27">
        <f t="shared" si="8"/>
        <v>42893.843407411317</v>
      </c>
      <c r="Q30" s="18">
        <f t="shared" si="4"/>
        <v>0.8638022498366944</v>
      </c>
      <c r="R30" s="27">
        <f t="shared" si="5"/>
        <v>0</v>
      </c>
      <c r="S30" s="6">
        <v>0</v>
      </c>
      <c r="T30" s="29">
        <f t="shared" si="6"/>
        <v>42893.843407411317</v>
      </c>
      <c r="U30" s="18">
        <f t="shared" si="7"/>
        <v>0.8638022498366944</v>
      </c>
      <c r="V30" s="33"/>
      <c r="W30" s="68">
        <v>0.5</v>
      </c>
      <c r="X30" s="67">
        <f t="shared" si="1"/>
        <v>3.7500000000000006E-2</v>
      </c>
      <c r="Y30" s="67">
        <f t="shared" si="2"/>
        <v>13.333333333333332</v>
      </c>
      <c r="Z30" s="67">
        <f t="shared" si="3"/>
        <v>18.856180831641264</v>
      </c>
      <c r="AA30" s="33"/>
      <c r="AB30" s="33"/>
      <c r="AC30" s="33"/>
    </row>
    <row r="31" spans="1:29" x14ac:dyDescent="0.35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9"/>
      <c r="M31" s="19"/>
      <c r="N31" s="19">
        <v>0</v>
      </c>
      <c r="O31" s="5">
        <v>1</v>
      </c>
      <c r="P31" s="27">
        <f t="shared" si="8"/>
        <v>42893.843407411317</v>
      </c>
      <c r="Q31" s="18">
        <f t="shared" si="4"/>
        <v>0.8638022498366944</v>
      </c>
      <c r="R31" s="27">
        <f t="shared" si="5"/>
        <v>0</v>
      </c>
      <c r="S31" s="6">
        <v>0</v>
      </c>
      <c r="T31" s="29">
        <f t="shared" si="6"/>
        <v>42893.843407411317</v>
      </c>
      <c r="U31" s="18">
        <f t="shared" si="7"/>
        <v>0.8638022498366944</v>
      </c>
      <c r="V31" s="33"/>
      <c r="W31" s="68">
        <v>0.52500000000000002</v>
      </c>
      <c r="X31" s="67">
        <f t="shared" si="1"/>
        <v>3.8781250000000003E-2</v>
      </c>
      <c r="Y31" s="67">
        <f t="shared" si="2"/>
        <v>13.53746978243352</v>
      </c>
      <c r="Z31" s="67">
        <f t="shared" si="3"/>
        <v>18.683483314990411</v>
      </c>
      <c r="AA31" s="33"/>
      <c r="AB31" s="33"/>
      <c r="AC31" s="33"/>
    </row>
    <row r="32" spans="1:29" x14ac:dyDescent="0.35">
      <c r="A32" s="1">
        <v>8</v>
      </c>
      <c r="B32" s="5" t="s">
        <v>81</v>
      </c>
      <c r="C32" s="5">
        <v>700</v>
      </c>
      <c r="D32" s="5"/>
      <c r="E32" s="5">
        <v>8.8999999999999995E-4</v>
      </c>
      <c r="F32" s="5">
        <f>C12</f>
        <v>2.5000000000000001E-2</v>
      </c>
      <c r="G32" s="5">
        <v>0</v>
      </c>
      <c r="H32" s="5">
        <f>C14</f>
        <v>0.05</v>
      </c>
      <c r="I32" s="5">
        <v>0</v>
      </c>
      <c r="J32" s="72">
        <v>0.4</v>
      </c>
      <c r="K32" s="26">
        <f>F32+G32*J32+H32*J32^2+I32</f>
        <v>3.3000000000000002E-2</v>
      </c>
      <c r="L32" s="25">
        <f t="shared" si="9"/>
        <v>442.61133197302428</v>
      </c>
      <c r="M32" s="24">
        <f>J32/K32</f>
        <v>12.121212121212121</v>
      </c>
      <c r="N32" s="19">
        <v>0.7</v>
      </c>
      <c r="O32" s="64">
        <f>EXP(-6076.12*C32*(N32/3600)/(1.68781*L32*M32))</f>
        <v>0.9127137145970583</v>
      </c>
      <c r="P32" s="27">
        <f t="shared" si="8"/>
        <v>42893.843407411317</v>
      </c>
      <c r="Q32" s="18">
        <f t="shared" si="4"/>
        <v>0.8638022498366944</v>
      </c>
      <c r="R32" s="27">
        <f t="shared" si="5"/>
        <v>3744.0442576883934</v>
      </c>
      <c r="S32" s="6">
        <v>0</v>
      </c>
      <c r="T32" s="29">
        <f t="shared" si="6"/>
        <v>39149.799149722923</v>
      </c>
      <c r="U32" s="18">
        <f t="shared" si="7"/>
        <v>0.78840416012574555</v>
      </c>
      <c r="V32" s="33"/>
      <c r="W32" s="68">
        <v>0.55000000000000004</v>
      </c>
      <c r="X32" s="67">
        <f t="shared" si="1"/>
        <v>4.0125000000000008E-2</v>
      </c>
      <c r="Y32" s="67">
        <f t="shared" si="2"/>
        <v>13.707165109034266</v>
      </c>
      <c r="Z32" s="67">
        <f t="shared" si="3"/>
        <v>18.482737662543705</v>
      </c>
      <c r="AA32" s="33"/>
      <c r="AB32" s="33"/>
      <c r="AC32" s="33"/>
    </row>
    <row r="33" spans="1:29" x14ac:dyDescent="0.35">
      <c r="A33" s="1">
        <v>9</v>
      </c>
      <c r="B33" s="5" t="s">
        <v>82</v>
      </c>
      <c r="C33" s="5"/>
      <c r="D33" s="5"/>
      <c r="E33" s="5"/>
      <c r="F33" s="5"/>
      <c r="G33" s="5"/>
      <c r="H33" s="5"/>
      <c r="I33" s="5"/>
      <c r="J33" s="72"/>
      <c r="K33" s="18"/>
      <c r="L33" s="19"/>
      <c r="M33" s="19"/>
      <c r="N33" s="19">
        <v>0.85</v>
      </c>
      <c r="O33" s="5">
        <v>0.99</v>
      </c>
      <c r="P33" s="27">
        <f t="shared" si="8"/>
        <v>39149.799149722923</v>
      </c>
      <c r="Q33" s="18">
        <f t="shared" si="4"/>
        <v>0.78840416012574555</v>
      </c>
      <c r="R33" s="27">
        <f t="shared" si="5"/>
        <v>391.49799149722958</v>
      </c>
      <c r="S33" s="6">
        <v>0</v>
      </c>
      <c r="T33" s="29">
        <f t="shared" si="6"/>
        <v>38758.301158225695</v>
      </c>
      <c r="U33" s="18">
        <f t="shared" si="7"/>
        <v>0.7805201185244881</v>
      </c>
      <c r="V33" s="33"/>
      <c r="W33" s="68">
        <v>0.57499999999999996</v>
      </c>
      <c r="X33" s="67">
        <f t="shared" si="1"/>
        <v>4.1531249999999999E-2</v>
      </c>
      <c r="Y33" s="67">
        <f t="shared" si="2"/>
        <v>13.844996237772762</v>
      </c>
      <c r="Z33" s="67">
        <f t="shared" si="3"/>
        <v>18.258240346850986</v>
      </c>
      <c r="AA33" s="33"/>
      <c r="AB33" s="33"/>
      <c r="AC33" s="33"/>
    </row>
    <row r="34" spans="1:29" x14ac:dyDescent="0.35">
      <c r="A34" s="1">
        <v>10</v>
      </c>
      <c r="B34" s="5" t="s">
        <v>132</v>
      </c>
      <c r="C34" s="5"/>
      <c r="D34" s="5">
        <v>20</v>
      </c>
      <c r="E34" s="5">
        <v>1.7600000000000001E-3</v>
      </c>
      <c r="F34" s="5">
        <f>C12</f>
        <v>2.5000000000000001E-2</v>
      </c>
      <c r="G34" s="5">
        <v>0</v>
      </c>
      <c r="H34" s="5">
        <f>C14</f>
        <v>0.05</v>
      </c>
      <c r="I34" s="5">
        <v>0</v>
      </c>
      <c r="J34" s="72">
        <v>0.7</v>
      </c>
      <c r="K34" s="26">
        <f>F34+G34*J34+H34*J34^2+I34</f>
        <v>4.9500000000000002E-2</v>
      </c>
      <c r="L34" s="25">
        <f t="shared" si="9"/>
        <v>226.16586575364366</v>
      </c>
      <c r="M34" s="24">
        <f>J34/K34</f>
        <v>14.14141414141414</v>
      </c>
      <c r="N34" s="19">
        <v>0.7</v>
      </c>
      <c r="O34" s="64">
        <f>EXP(-(D34*60)*(N34/3600)/(M34))</f>
        <v>0.98363537939067236</v>
      </c>
      <c r="P34" s="27">
        <f t="shared" si="8"/>
        <v>38758.301158225695</v>
      </c>
      <c r="Q34" s="18">
        <f t="shared" si="4"/>
        <v>0.7805201185244881</v>
      </c>
      <c r="R34" s="27">
        <f t="shared" si="5"/>
        <v>634.26489391642758</v>
      </c>
      <c r="S34" s="6">
        <v>0</v>
      </c>
      <c r="T34" s="29">
        <f t="shared" si="6"/>
        <v>38124.036264309267</v>
      </c>
      <c r="U34" s="18">
        <f t="shared" si="7"/>
        <v>0.76774720290688736</v>
      </c>
      <c r="V34" s="33"/>
      <c r="W34" s="68">
        <v>0.6</v>
      </c>
      <c r="X34" s="67">
        <f t="shared" si="1"/>
        <v>4.2999999999999997E-2</v>
      </c>
      <c r="Y34" s="67">
        <f t="shared" si="2"/>
        <v>13.953488372093023</v>
      </c>
      <c r="Z34" s="67">
        <f t="shared" si="3"/>
        <v>18.01387602887171</v>
      </c>
      <c r="AA34" s="34"/>
      <c r="AB34" s="34"/>
      <c r="AC34" s="34"/>
    </row>
    <row r="35" spans="1:29" x14ac:dyDescent="0.35">
      <c r="A35" s="1">
        <v>11</v>
      </c>
      <c r="B35" s="5" t="s">
        <v>84</v>
      </c>
      <c r="C35" s="5"/>
      <c r="D35" s="5"/>
      <c r="E35" s="5"/>
      <c r="F35" s="5"/>
      <c r="G35" s="5"/>
      <c r="H35" s="5"/>
      <c r="I35" s="5"/>
      <c r="J35" s="72"/>
      <c r="K35" s="18"/>
      <c r="L35" s="5"/>
      <c r="M35" s="19"/>
      <c r="N35" s="19">
        <v>0.6</v>
      </c>
      <c r="O35" s="5">
        <v>0.995</v>
      </c>
      <c r="P35" s="27">
        <f t="shared" si="8"/>
        <v>38124.036264309267</v>
      </c>
      <c r="Q35" s="18">
        <f t="shared" si="4"/>
        <v>0.76774720290688736</v>
      </c>
      <c r="R35" s="27">
        <f t="shared" si="5"/>
        <v>190.62018132154651</v>
      </c>
      <c r="S35" s="6">
        <v>0</v>
      </c>
      <c r="T35" s="29">
        <f t="shared" si="6"/>
        <v>37933.416082987722</v>
      </c>
      <c r="U35" s="18">
        <f t="shared" si="7"/>
        <v>0.76390846689235292</v>
      </c>
      <c r="V35" s="34"/>
      <c r="W35" s="68">
        <v>0.625</v>
      </c>
      <c r="X35" s="67">
        <f t="shared" si="1"/>
        <v>4.4531250000000001E-2</v>
      </c>
      <c r="Y35" s="67">
        <f t="shared" si="2"/>
        <v>14.035087719298245</v>
      </c>
      <c r="Z35" s="67">
        <f t="shared" si="3"/>
        <v>17.753137741296165</v>
      </c>
    </row>
    <row r="36" spans="1:29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W36" s="68">
        <v>0.65</v>
      </c>
      <c r="X36" s="67">
        <f t="shared" si="1"/>
        <v>4.6125000000000006E-2</v>
      </c>
      <c r="Y36" s="67">
        <f t="shared" si="2"/>
        <v>14.092140921409213</v>
      </c>
      <c r="Z36" s="67">
        <f t="shared" si="3"/>
        <v>17.479149589807154</v>
      </c>
    </row>
    <row r="37" spans="1:29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4.7781250000000004E-2</v>
      </c>
      <c r="Y37" s="67">
        <f t="shared" si="2"/>
        <v>14.126880313930673</v>
      </c>
      <c r="Z37" s="67">
        <f t="shared" si="3"/>
        <v>17.194691144701093</v>
      </c>
    </row>
    <row r="38" spans="1:29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28"/>
      <c r="S38" s="6"/>
      <c r="T38" s="6"/>
      <c r="U38" s="6"/>
      <c r="W38" s="68">
        <v>0.7</v>
      </c>
      <c r="X38" s="67">
        <f t="shared" si="1"/>
        <v>4.9500000000000002E-2</v>
      </c>
      <c r="Y38" s="67">
        <f t="shared" si="2"/>
        <v>14.14141414141414</v>
      </c>
      <c r="Z38" s="67">
        <f t="shared" si="3"/>
        <v>16.902222758264152</v>
      </c>
    </row>
    <row r="39" spans="1:29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5.128125E-2</v>
      </c>
      <c r="Y39" s="67">
        <f t="shared" si="2"/>
        <v>14.137720901889091</v>
      </c>
      <c r="Z39" s="67">
        <f t="shared" si="3"/>
        <v>16.603911142889846</v>
      </c>
    </row>
    <row r="40" spans="1:29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5.3125000000000006E-2</v>
      </c>
      <c r="Y40" s="67">
        <f t="shared" si="2"/>
        <v>14.117647058823527</v>
      </c>
      <c r="Z40" s="67">
        <f t="shared" si="3"/>
        <v>16.301654659471783</v>
      </c>
    </row>
    <row r="41" spans="1:29" x14ac:dyDescent="0.35">
      <c r="W41" s="68">
        <v>0.77500000000000002</v>
      </c>
      <c r="X41" s="67">
        <f t="shared" si="1"/>
        <v>5.5031250000000004E-2</v>
      </c>
      <c r="Y41" s="67">
        <f t="shared" si="2"/>
        <v>14.082907438955139</v>
      </c>
      <c r="Z41" s="67">
        <f t="shared" si="3"/>
        <v>15.997107881121188</v>
      </c>
    </row>
    <row r="42" spans="1:29" x14ac:dyDescent="0.35">
      <c r="Q42" s="80" t="s">
        <v>85</v>
      </c>
      <c r="R42" s="81"/>
      <c r="S42" s="82"/>
      <c r="W42" s="68">
        <v>0.8</v>
      </c>
      <c r="X42" s="67">
        <f t="shared" si="1"/>
        <v>5.7000000000000009E-2</v>
      </c>
      <c r="Y42" s="67">
        <f t="shared" si="2"/>
        <v>14.035087719298245</v>
      </c>
      <c r="Z42" s="67">
        <f t="shared" si="3"/>
        <v>15.691705105261679</v>
      </c>
    </row>
    <row r="43" spans="1:29" x14ac:dyDescent="0.35">
      <c r="Q43" s="1" t="s">
        <v>86</v>
      </c>
      <c r="R43" s="32">
        <f>SUM(R25:R40)</f>
        <v>11723.601383128625</v>
      </c>
      <c r="S43" s="1" t="s">
        <v>7</v>
      </c>
      <c r="W43" s="68">
        <v>0.82499999999999996</v>
      </c>
      <c r="X43" s="67">
        <f t="shared" si="1"/>
        <v>5.903125E-2</v>
      </c>
      <c r="Y43" s="67">
        <f t="shared" si="2"/>
        <v>13.975648491265218</v>
      </c>
      <c r="Z43" s="67">
        <f t="shared" si="3"/>
        <v>15.386682583025896</v>
      </c>
    </row>
    <row r="44" spans="1:29" x14ac:dyDescent="0.35">
      <c r="Q44" s="1" t="s">
        <v>87</v>
      </c>
      <c r="R44" s="32">
        <f>R43*C21</f>
        <v>703.41608298771746</v>
      </c>
      <c r="S44" s="1" t="s">
        <v>7</v>
      </c>
      <c r="W44" s="68">
        <v>0.85</v>
      </c>
      <c r="X44" s="67">
        <f t="shared" si="1"/>
        <v>6.1124999999999999E-2</v>
      </c>
      <c r="Y44" s="67">
        <f t="shared" si="2"/>
        <v>13.905930470347649</v>
      </c>
      <c r="Z44" s="67">
        <f t="shared" si="3"/>
        <v>15.083099316634581</v>
      </c>
    </row>
    <row r="45" spans="1:29" x14ac:dyDescent="0.35">
      <c r="Q45" s="1" t="s">
        <v>88</v>
      </c>
      <c r="R45" s="32">
        <f>R43+R44</f>
        <v>12427.017466116344</v>
      </c>
      <c r="S45" s="1" t="s">
        <v>7</v>
      </c>
    </row>
  </sheetData>
  <mergeCells count="13">
    <mergeCell ref="Q42:S42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  <mergeCell ref="K2:K3"/>
  </mergeCells>
  <conditionalFormatting sqref="Y8:Y44">
    <cfRule type="top10" dxfId="5" priority="2" rank="1"/>
  </conditionalFormatting>
  <conditionalFormatting sqref="Z8:Z44">
    <cfRule type="top10" dxfId="4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7FA81-48BF-4AD2-A7E0-1EE3903FB05F}">
  <sheetPr codeName="Sheet3"/>
  <dimension ref="A1:AC46"/>
  <sheetViews>
    <sheetView zoomScale="75" zoomScaleNormal="75" workbookViewId="0">
      <pane xSplit="2" topLeftCell="C1" activePane="topRight" state="frozen"/>
      <selection pane="topRight" activeCell="O3" sqref="O3:O7"/>
    </sheetView>
  </sheetViews>
  <sheetFormatPr defaultRowHeight="14.5" x14ac:dyDescent="0.35"/>
  <cols>
    <col min="2" max="2" width="31" customWidth="1"/>
    <col min="3" max="3" width="8.81640625" customWidth="1"/>
    <col min="6" max="6" width="10.1796875" customWidth="1"/>
    <col min="15" max="15" width="13.81640625" bestFit="1" customWidth="1"/>
    <col min="16" max="16" width="11.54296875" bestFit="1" customWidth="1"/>
    <col min="17" max="17" width="11.54296875" customWidth="1"/>
    <col min="18" max="18" width="13" bestFit="1" customWidth="1"/>
    <col min="19" max="19" width="10.1796875" customWidth="1"/>
    <col min="21" max="21" width="11.1796875" customWidth="1"/>
    <col min="23" max="23" width="11.81640625" customWidth="1"/>
    <col min="25" max="25" width="15.1796875" customWidth="1"/>
    <col min="27" max="27" width="13.54296875" customWidth="1"/>
    <col min="29" max="29" width="11.453125" customWidth="1"/>
  </cols>
  <sheetData>
    <row r="1" spans="2:29" x14ac:dyDescent="0.35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5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K2" s="88" t="s">
        <v>134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5">
      <c r="B3" s="2" t="s">
        <v>11</v>
      </c>
      <c r="C3" s="7">
        <v>2.34</v>
      </c>
      <c r="D3" s="2"/>
      <c r="F3" s="1" t="s">
        <v>12</v>
      </c>
      <c r="G3" s="31">
        <v>61378.881119005426</v>
      </c>
      <c r="H3" s="1" t="s">
        <v>7</v>
      </c>
      <c r="J3" s="79"/>
      <c r="K3" s="88"/>
      <c r="M3" s="8" t="s">
        <v>13</v>
      </c>
      <c r="N3" s="20">
        <f>O3*0.4536</f>
        <v>27841.460476601864</v>
      </c>
      <c r="O3" s="20">
        <f>SUM(O4:O7)</f>
        <v>61378.881121256316</v>
      </c>
      <c r="P3" s="10"/>
      <c r="R3" s="22">
        <v>0</v>
      </c>
      <c r="S3" s="22">
        <v>2.3768923674999999E-3</v>
      </c>
    </row>
    <row r="4" spans="2:29" x14ac:dyDescent="0.35">
      <c r="B4" s="2" t="s">
        <v>14</v>
      </c>
      <c r="C4" s="7">
        <v>-0.13</v>
      </c>
      <c r="D4" s="2"/>
      <c r="F4" s="1" t="s">
        <v>15</v>
      </c>
      <c r="G4" s="30">
        <f>(O5+O6+O4+R46)</f>
        <v>61378.881121256316</v>
      </c>
      <c r="H4" s="1" t="s">
        <v>7</v>
      </c>
      <c r="J4" s="1">
        <f>C3*$G$3^C4</f>
        <v>0.5581788693742965</v>
      </c>
      <c r="K4">
        <v>34540</v>
      </c>
      <c r="M4" s="8" t="s">
        <v>16</v>
      </c>
      <c r="N4" s="20">
        <f t="shared" ref="N4:N7" si="0">O4*0.4536</f>
        <v>15667.344000000001</v>
      </c>
      <c r="O4">
        <v>34540</v>
      </c>
      <c r="P4" s="11">
        <f>O4/$O$3</f>
        <v>0.56273427226157668</v>
      </c>
      <c r="R4" s="22">
        <v>15000</v>
      </c>
      <c r="S4" s="22">
        <v>1.495443163997E-3</v>
      </c>
    </row>
    <row r="5" spans="2:29" x14ac:dyDescent="0.35">
      <c r="B5" s="78" t="s">
        <v>17</v>
      </c>
      <c r="C5" s="78"/>
      <c r="D5" s="78"/>
      <c r="F5" s="1" t="s">
        <v>18</v>
      </c>
      <c r="G5" s="65">
        <f>G3-G4</f>
        <v>-2.2508902475237846E-6</v>
      </c>
      <c r="H5" s="1" t="s">
        <v>7</v>
      </c>
      <c r="M5" s="8" t="s">
        <v>19</v>
      </c>
      <c r="N5" s="20">
        <f t="shared" si="0"/>
        <v>1986.768</v>
      </c>
      <c r="O5" s="20">
        <f>C6</f>
        <v>4380</v>
      </c>
      <c r="P5" s="11">
        <f>O5/$O$3</f>
        <v>7.1360049580362073E-2</v>
      </c>
      <c r="R5" s="22">
        <v>25000</v>
      </c>
      <c r="S5" s="22">
        <v>1.0648904130489999E-3</v>
      </c>
    </row>
    <row r="6" spans="2:29" x14ac:dyDescent="0.35">
      <c r="B6" s="2" t="s">
        <v>19</v>
      </c>
      <c r="C6" s="7">
        <v>4380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4.887674628791922E-3</v>
      </c>
      <c r="R6" s="22">
        <v>35000</v>
      </c>
      <c r="S6" s="22">
        <v>7.3628591926299997E-4</v>
      </c>
    </row>
    <row r="7" spans="2:29" x14ac:dyDescent="0.35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10051.268476601865</v>
      </c>
      <c r="O7" s="20">
        <f>R46</f>
        <v>22158.881121256316</v>
      </c>
      <c r="P7" s="11">
        <f>O7/$O$3</f>
        <v>0.36101800352926933</v>
      </c>
    </row>
    <row r="8" spans="2:29" x14ac:dyDescent="0.35">
      <c r="B8" s="78" t="s">
        <v>23</v>
      </c>
      <c r="C8" s="78"/>
      <c r="D8" s="78"/>
      <c r="F8" s="1" t="s">
        <v>24</v>
      </c>
      <c r="G8" s="32">
        <f>G3-O4-O5-O6</f>
        <v>22158.881119005426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5">
      <c r="B9" s="2" t="s">
        <v>27</v>
      </c>
      <c r="C9" s="7">
        <v>115</v>
      </c>
      <c r="D9" s="2" t="s">
        <v>28</v>
      </c>
      <c r="F9" s="1" t="s">
        <v>29</v>
      </c>
      <c r="G9" s="32">
        <f>R46</f>
        <v>22158.881121256316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5">
      <c r="B10" s="2" t="s">
        <v>38</v>
      </c>
      <c r="C10" s="23">
        <v>0.75</v>
      </c>
      <c r="D10" s="2"/>
      <c r="F10" s="1" t="s">
        <v>39</v>
      </c>
      <c r="G10" s="32">
        <f>G8-G9</f>
        <v>-2.2508902475237846E-6</v>
      </c>
      <c r="H10" s="1" t="s">
        <v>7</v>
      </c>
      <c r="M10" s="8" t="s">
        <v>40</v>
      </c>
      <c r="N10" s="12">
        <f>O10/3.28^2</f>
        <v>49.610481210440476</v>
      </c>
      <c r="O10" s="21">
        <f>O3/C9</f>
        <v>533.72940105440273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5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 t="shared" ref="X11:X44" si="1">$C$12+$C$13*W11+$C$14*W11^2+$C$15</f>
        <v>2.5031250000000001E-2</v>
      </c>
      <c r="Y11" s="67">
        <f t="shared" ref="Y11:Y44" si="2">W11/X11</f>
        <v>0.99875156054931336</v>
      </c>
      <c r="Z11" s="67">
        <f t="shared" ref="Z11:Z44" si="3">W11^(1/2)/X11</f>
        <v>6.3166594959667997</v>
      </c>
    </row>
    <row r="12" spans="2:29" x14ac:dyDescent="0.35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si="1"/>
        <v>2.5125000000000001E-2</v>
      </c>
      <c r="Y12" s="67">
        <f t="shared" si="2"/>
        <v>1.9900497512437811</v>
      </c>
      <c r="Z12" s="67">
        <f t="shared" si="3"/>
        <v>8.8997730447752819</v>
      </c>
    </row>
    <row r="13" spans="2:29" x14ac:dyDescent="0.35">
      <c r="B13" s="2" t="s">
        <v>46</v>
      </c>
      <c r="C13" s="2">
        <v>0</v>
      </c>
      <c r="D13" s="2"/>
      <c r="M13" s="8" t="s">
        <v>47</v>
      </c>
      <c r="N13" s="12">
        <f>O13*0.00444822</f>
        <v>204.77007493589608</v>
      </c>
      <c r="O13" s="20">
        <f>C10*O3</f>
        <v>46034.160840942233</v>
      </c>
      <c r="P13" s="13"/>
      <c r="V13" s="9"/>
      <c r="W13" s="68">
        <v>7.4999999999999997E-2</v>
      </c>
      <c r="X13" s="67">
        <f t="shared" si="1"/>
        <v>2.5281250000000002E-2</v>
      </c>
      <c r="Y13" s="67">
        <f t="shared" si="2"/>
        <v>2.9666254635352285</v>
      </c>
      <c r="Z13" s="67">
        <f t="shared" si="3"/>
        <v>10.832584573649761</v>
      </c>
    </row>
    <row r="14" spans="2:29" x14ac:dyDescent="0.35">
      <c r="B14" s="2" t="s">
        <v>48</v>
      </c>
      <c r="C14" s="2">
        <v>0.05</v>
      </c>
      <c r="D14" s="2"/>
      <c r="M14" s="14"/>
      <c r="N14" s="83" t="s">
        <v>49</v>
      </c>
      <c r="O14" s="83"/>
      <c r="P14" s="15">
        <f>AC35</f>
        <v>0</v>
      </c>
      <c r="W14" s="68">
        <v>0.1</v>
      </c>
      <c r="X14" s="67">
        <f t="shared" si="1"/>
        <v>2.5500000000000002E-2</v>
      </c>
      <c r="Y14" s="67">
        <f t="shared" si="2"/>
        <v>3.9215686274509802</v>
      </c>
      <c r="Z14" s="67">
        <f t="shared" si="3"/>
        <v>12.401088863405409</v>
      </c>
    </row>
    <row r="15" spans="2:29" x14ac:dyDescent="0.35">
      <c r="B15" s="2" t="s">
        <v>50</v>
      </c>
      <c r="C15" s="2">
        <v>0</v>
      </c>
      <c r="D15" s="2"/>
      <c r="V15" s="33"/>
      <c r="W15" s="68">
        <v>0.125</v>
      </c>
      <c r="X15" s="67">
        <f t="shared" si="1"/>
        <v>2.5781250000000002E-2</v>
      </c>
      <c r="Y15" s="67">
        <f t="shared" si="2"/>
        <v>4.8484848484848477</v>
      </c>
      <c r="Z15" s="67">
        <f t="shared" si="3"/>
        <v>13.713586059375467</v>
      </c>
      <c r="AA15" s="33"/>
      <c r="AB15" s="33"/>
      <c r="AC15" s="33"/>
    </row>
    <row r="16" spans="2:29" x14ac:dyDescent="0.35">
      <c r="B16" s="16"/>
      <c r="C16" s="16"/>
      <c r="D16" s="16"/>
      <c r="W16" s="68">
        <v>0.15</v>
      </c>
      <c r="X16" s="67">
        <f t="shared" si="1"/>
        <v>2.6125000000000002E-2</v>
      </c>
      <c r="Y16" s="67">
        <f t="shared" si="2"/>
        <v>5.7416267942583721</v>
      </c>
      <c r="Z16" s="67">
        <f t="shared" si="3"/>
        <v>14.824816636200637</v>
      </c>
      <c r="AA16" s="33"/>
      <c r="AB16" s="33"/>
      <c r="AC16" s="33"/>
    </row>
    <row r="17" spans="1:29" x14ac:dyDescent="0.35">
      <c r="B17" s="16"/>
      <c r="C17" s="16"/>
      <c r="D17" s="16"/>
      <c r="V17" s="33" t="s">
        <v>26</v>
      </c>
      <c r="W17" s="68">
        <v>0.17499999999999999</v>
      </c>
      <c r="X17" s="67">
        <f t="shared" si="1"/>
        <v>2.6531250000000003E-2</v>
      </c>
      <c r="Y17" s="67">
        <f t="shared" si="2"/>
        <v>6.5959952885747928</v>
      </c>
      <c r="Z17" s="67">
        <f t="shared" si="3"/>
        <v>15.767444551878926</v>
      </c>
      <c r="AA17" s="33"/>
      <c r="AB17" s="33"/>
      <c r="AC17" s="33"/>
    </row>
    <row r="18" spans="1:29" x14ac:dyDescent="0.35">
      <c r="B18" s="16"/>
      <c r="C18" s="16"/>
      <c r="D18" s="16"/>
      <c r="V18" s="33"/>
      <c r="W18" s="68">
        <v>0.2</v>
      </c>
      <c r="X18" s="67">
        <f t="shared" si="1"/>
        <v>2.7000000000000003E-2</v>
      </c>
      <c r="Y18" s="67">
        <f t="shared" si="2"/>
        <v>7.4074074074074066</v>
      </c>
      <c r="Z18" s="67">
        <f t="shared" si="3"/>
        <v>16.563466499998441</v>
      </c>
      <c r="AA18" s="33"/>
      <c r="AB18" s="33"/>
      <c r="AC18" s="33"/>
    </row>
    <row r="19" spans="1:29" x14ac:dyDescent="0.35">
      <c r="V19" s="33"/>
      <c r="W19" s="68">
        <v>0.22500000000000001</v>
      </c>
      <c r="X19" s="67">
        <f t="shared" si="1"/>
        <v>2.753125E-2</v>
      </c>
      <c r="Y19" s="67">
        <f t="shared" si="2"/>
        <v>8.172531214528945</v>
      </c>
      <c r="Z19" s="67">
        <f t="shared" si="3"/>
        <v>17.229208591155754</v>
      </c>
      <c r="AA19" s="33"/>
      <c r="AB19" s="33"/>
      <c r="AC19" s="33"/>
    </row>
    <row r="20" spans="1:29" x14ac:dyDescent="0.35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1"/>
        <v>2.8125000000000001E-2</v>
      </c>
      <c r="Y20" s="67">
        <f t="shared" si="2"/>
        <v>8.8888888888888893</v>
      </c>
      <c r="Z20" s="67">
        <f t="shared" si="3"/>
        <v>17.777777777777779</v>
      </c>
      <c r="AA20" s="33"/>
      <c r="AB20" s="33"/>
      <c r="AC20" s="33"/>
    </row>
    <row r="21" spans="1:29" x14ac:dyDescent="0.35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R46/P25</f>
        <v>0.36101800354250863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1"/>
        <v>2.8781250000000001E-2</v>
      </c>
      <c r="Y21" s="67">
        <f t="shared" si="2"/>
        <v>9.5548317046688389</v>
      </c>
      <c r="Z21" s="67">
        <f t="shared" si="3"/>
        <v>18.220349153878853</v>
      </c>
      <c r="AA21" s="33"/>
      <c r="AB21" s="33"/>
      <c r="AC21" s="33"/>
    </row>
    <row r="22" spans="1:29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1"/>
        <v>2.9500000000000002E-2</v>
      </c>
      <c r="Y22" s="67">
        <f t="shared" si="2"/>
        <v>10.169491525423728</v>
      </c>
      <c r="Z22" s="67">
        <f t="shared" si="3"/>
        <v>18.566866356107322</v>
      </c>
      <c r="AA22" s="33"/>
      <c r="AB22" s="33"/>
      <c r="AC22" s="33"/>
    </row>
    <row r="23" spans="1:29" x14ac:dyDescent="0.35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1"/>
        <v>3.0281250000000003E-2</v>
      </c>
      <c r="Y23" s="67">
        <f t="shared" si="2"/>
        <v>10.732714138286893</v>
      </c>
      <c r="Z23" s="67">
        <f t="shared" si="3"/>
        <v>18.826426007828903</v>
      </c>
      <c r="AA23" s="33"/>
      <c r="AB23" s="33"/>
      <c r="AC23" s="33"/>
    </row>
    <row r="24" spans="1:29" x14ac:dyDescent="0.35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1"/>
        <v>3.1125E-2</v>
      </c>
      <c r="Y24" s="67">
        <f t="shared" si="2"/>
        <v>11.244979919678714</v>
      </c>
      <c r="Z24" s="67">
        <f t="shared" si="3"/>
        <v>19.007485246906395</v>
      </c>
      <c r="AA24" s="33"/>
      <c r="AB24" s="33"/>
      <c r="AC24" s="33"/>
    </row>
    <row r="25" spans="1:29" x14ac:dyDescent="0.35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61378.881119005426</v>
      </c>
      <c r="Q25" s="18">
        <f t="shared" ref="Q25:Q36" si="4">P25/$P$25</f>
        <v>1</v>
      </c>
      <c r="R25" s="27">
        <f t="shared" ref="R25:R36" si="5">P25*(1-O25)</f>
        <v>306.89440559502742</v>
      </c>
      <c r="S25" s="6">
        <v>0</v>
      </c>
      <c r="T25" s="29">
        <f t="shared" ref="T25:T36" si="6">P25-R25-S25</f>
        <v>61071.986713410399</v>
      </c>
      <c r="U25" s="18">
        <f t="shared" ref="U25:U36" si="7">T25/$P$25</f>
        <v>0.995</v>
      </c>
      <c r="V25" s="33"/>
      <c r="W25" s="68">
        <v>0.375</v>
      </c>
      <c r="X25" s="67">
        <f t="shared" si="1"/>
        <v>3.2031250000000004E-2</v>
      </c>
      <c r="Y25" s="67">
        <f t="shared" si="2"/>
        <v>11.70731707317073</v>
      </c>
      <c r="Z25" s="67">
        <f t="shared" si="3"/>
        <v>19.117968724161386</v>
      </c>
      <c r="AA25" s="33"/>
      <c r="AB25" s="33"/>
      <c r="AC25" s="33"/>
    </row>
    <row r="26" spans="1:29" x14ac:dyDescent="0.35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61071.986713410399</v>
      </c>
      <c r="Q26" s="18">
        <f t="shared" si="4"/>
        <v>0.995</v>
      </c>
      <c r="R26" s="27">
        <f t="shared" si="5"/>
        <v>610.71986713410456</v>
      </c>
      <c r="S26" s="6">
        <v>0</v>
      </c>
      <c r="T26" s="29">
        <f t="shared" si="6"/>
        <v>60461.266846276296</v>
      </c>
      <c r="U26" s="18">
        <f t="shared" si="7"/>
        <v>0.98504999999999998</v>
      </c>
      <c r="V26" s="33"/>
      <c r="W26" s="68">
        <v>0.4</v>
      </c>
      <c r="X26" s="67">
        <f t="shared" si="1"/>
        <v>3.3000000000000002E-2</v>
      </c>
      <c r="Y26" s="67">
        <f t="shared" si="2"/>
        <v>12.121212121212121</v>
      </c>
      <c r="Z26" s="67">
        <f t="shared" si="3"/>
        <v>19.165319152535631</v>
      </c>
      <c r="AA26" s="33"/>
      <c r="AB26" s="33"/>
      <c r="AC26" s="33"/>
    </row>
    <row r="27" spans="1:29" x14ac:dyDescent="0.35">
      <c r="A27" s="1">
        <v>3</v>
      </c>
      <c r="B27" s="5" t="s">
        <v>128</v>
      </c>
      <c r="C27" s="5"/>
      <c r="D27" s="5"/>
      <c r="E27" s="5"/>
      <c r="F27" s="5"/>
      <c r="G27" s="5"/>
      <c r="H27" s="5"/>
      <c r="I27" s="5"/>
      <c r="J27" s="72"/>
      <c r="K27" s="18"/>
      <c r="L27" s="17">
        <v>300</v>
      </c>
      <c r="M27" s="19"/>
      <c r="N27" s="19">
        <v>0.75</v>
      </c>
      <c r="O27" s="5">
        <v>0.98</v>
      </c>
      <c r="P27" s="27">
        <f>T26</f>
        <v>60461.266846276296</v>
      </c>
      <c r="Q27" s="18">
        <f t="shared" si="4"/>
        <v>0.98504999999999998</v>
      </c>
      <c r="R27" s="27">
        <f t="shared" si="5"/>
        <v>1209.225336925527</v>
      </c>
      <c r="S27" s="6">
        <v>0</v>
      </c>
      <c r="T27" s="29">
        <f t="shared" si="6"/>
        <v>59252.041509350769</v>
      </c>
      <c r="U27" s="18">
        <f t="shared" si="7"/>
        <v>0.96534900000000001</v>
      </c>
      <c r="V27" s="33"/>
      <c r="W27" s="68">
        <v>0.42499999999999999</v>
      </c>
      <c r="X27" s="67">
        <f t="shared" si="1"/>
        <v>3.4031249999999999E-2</v>
      </c>
      <c r="Y27" s="67">
        <f t="shared" si="2"/>
        <v>12.488521579430671</v>
      </c>
      <c r="Z27" s="67">
        <f t="shared" si="3"/>
        <v>19.156517627776378</v>
      </c>
      <c r="AA27" s="33"/>
      <c r="AB27" s="33"/>
      <c r="AC27" s="33"/>
    </row>
    <row r="28" spans="1:29" x14ac:dyDescent="0.35">
      <c r="A28" s="1">
        <v>4</v>
      </c>
      <c r="B28" s="5" t="s">
        <v>78</v>
      </c>
      <c r="C28" s="5">
        <v>650</v>
      </c>
      <c r="D28" s="5"/>
      <c r="E28" s="5">
        <v>8.8999999999999995E-4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467.90484141043174</v>
      </c>
      <c r="M28" s="24">
        <f>J28/K28</f>
        <v>12.121212121212121</v>
      </c>
      <c r="N28" s="19">
        <v>0.85</v>
      </c>
      <c r="O28" s="64">
        <f>EXP(-6076.12*C28*(N28/3600)/(1.68781*L28*M28))</f>
        <v>0.90717880895518721</v>
      </c>
      <c r="P28" s="27">
        <f t="shared" ref="P28:P36" si="8">T27</f>
        <v>59252.041509350769</v>
      </c>
      <c r="Q28" s="18">
        <f t="shared" si="4"/>
        <v>0.96534900000000001</v>
      </c>
      <c r="R28" s="27">
        <f t="shared" si="5"/>
        <v>5499.8450647346253</v>
      </c>
      <c r="S28" s="6">
        <v>0</v>
      </c>
      <c r="T28" s="29">
        <f t="shared" si="6"/>
        <v>53752.196444616144</v>
      </c>
      <c r="U28" s="18">
        <f t="shared" si="7"/>
        <v>0.87574415604608102</v>
      </c>
      <c r="V28" s="33"/>
      <c r="W28" s="68">
        <v>0.45</v>
      </c>
      <c r="X28" s="67">
        <f t="shared" si="1"/>
        <v>3.5125000000000003E-2</v>
      </c>
      <c r="Y28" s="67">
        <f t="shared" si="2"/>
        <v>12.811387900355871</v>
      </c>
      <c r="Z28" s="67">
        <f t="shared" si="3"/>
        <v>19.098089487542687</v>
      </c>
      <c r="AA28" s="33"/>
      <c r="AB28" s="33"/>
      <c r="AC28" s="33"/>
    </row>
    <row r="29" spans="1:29" x14ac:dyDescent="0.35">
      <c r="A29" s="1">
        <v>5</v>
      </c>
      <c r="B29" s="5" t="s">
        <v>89</v>
      </c>
      <c r="C29" s="5"/>
      <c r="D29" s="5"/>
      <c r="E29" s="5"/>
      <c r="F29" s="5"/>
      <c r="G29" s="5"/>
      <c r="H29" s="5"/>
      <c r="I29" s="5"/>
      <c r="J29" s="72"/>
      <c r="K29" s="5"/>
      <c r="L29" s="5"/>
      <c r="M29" s="19"/>
      <c r="N29" s="19">
        <v>0.75</v>
      </c>
      <c r="O29" s="5">
        <v>0.99</v>
      </c>
      <c r="P29" s="27">
        <f t="shared" si="8"/>
        <v>53752.196444616144</v>
      </c>
      <c r="Q29" s="18">
        <f t="shared" si="4"/>
        <v>0.87574415604608102</v>
      </c>
      <c r="R29" s="27">
        <f t="shared" si="5"/>
        <v>537.52196444616186</v>
      </c>
      <c r="S29" s="6">
        <v>0</v>
      </c>
      <c r="T29" s="29">
        <f t="shared" si="6"/>
        <v>53214.674480169982</v>
      </c>
      <c r="U29" s="18">
        <f t="shared" si="7"/>
        <v>0.86698671448562026</v>
      </c>
      <c r="V29" s="33"/>
      <c r="W29" s="68">
        <v>0.47499999999999998</v>
      </c>
      <c r="X29" s="67">
        <f t="shared" si="1"/>
        <v>3.6281250000000001E-2</v>
      </c>
      <c r="Y29" s="67">
        <f t="shared" si="2"/>
        <v>13.092161929371231</v>
      </c>
      <c r="Z29" s="67">
        <f t="shared" si="3"/>
        <v>18.996105084706592</v>
      </c>
      <c r="AA29" s="33"/>
      <c r="AB29" s="33"/>
      <c r="AC29" s="33"/>
    </row>
    <row r="30" spans="1:29" x14ac:dyDescent="0.35">
      <c r="A30" s="1">
        <v>6</v>
      </c>
      <c r="B30" s="5" t="s">
        <v>79</v>
      </c>
      <c r="C30" s="5">
        <v>100</v>
      </c>
      <c r="D30" s="24">
        <f>C30/L30*60</f>
        <v>10.08403361344538</v>
      </c>
      <c r="E30" s="5"/>
      <c r="F30" s="5"/>
      <c r="G30" s="5"/>
      <c r="H30" s="5"/>
      <c r="I30" s="5"/>
      <c r="J30" s="72"/>
      <c r="K30" s="19"/>
      <c r="L30" s="25">
        <v>595</v>
      </c>
      <c r="M30" s="19"/>
      <c r="N30" s="19">
        <v>0.85</v>
      </c>
      <c r="O30" s="64">
        <f>1-(1/Q30)*C10*N30*(D30/60)</f>
        <v>0.87641926300286555</v>
      </c>
      <c r="P30" s="27">
        <f t="shared" si="8"/>
        <v>53214.674480169982</v>
      </c>
      <c r="Q30" s="18">
        <f t="shared" si="4"/>
        <v>0.86698671448562026</v>
      </c>
      <c r="R30" s="27">
        <f t="shared" si="5"/>
        <v>6576.3086913220095</v>
      </c>
      <c r="S30" s="6">
        <v>0</v>
      </c>
      <c r="T30" s="29">
        <f t="shared" si="6"/>
        <v>46638.365788847972</v>
      </c>
      <c r="U30" s="18">
        <f t="shared" si="7"/>
        <v>0.75984385734276305</v>
      </c>
      <c r="V30" s="33"/>
      <c r="W30" s="68">
        <v>0.5</v>
      </c>
      <c r="X30" s="67">
        <f t="shared" si="1"/>
        <v>3.7500000000000006E-2</v>
      </c>
      <c r="Y30" s="67">
        <f t="shared" si="2"/>
        <v>13.333333333333332</v>
      </c>
      <c r="Z30" s="67">
        <f t="shared" si="3"/>
        <v>18.856180831641264</v>
      </c>
      <c r="AA30" s="33"/>
      <c r="AB30" s="33"/>
      <c r="AC30" s="33"/>
    </row>
    <row r="31" spans="1:29" x14ac:dyDescent="0.35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7"/>
      <c r="M31" s="19"/>
      <c r="N31" s="19">
        <v>0</v>
      </c>
      <c r="O31" s="5">
        <v>1</v>
      </c>
      <c r="P31" s="27">
        <f t="shared" si="8"/>
        <v>46638.365788847972</v>
      </c>
      <c r="Q31" s="18">
        <f t="shared" si="4"/>
        <v>0.75984385734276305</v>
      </c>
      <c r="R31" s="27">
        <f t="shared" si="5"/>
        <v>0</v>
      </c>
      <c r="S31" s="5">
        <v>4380</v>
      </c>
      <c r="T31" s="29">
        <f t="shared" si="6"/>
        <v>42258.365788847972</v>
      </c>
      <c r="U31" s="18">
        <f t="shared" si="7"/>
        <v>0.68848380775978413</v>
      </c>
      <c r="V31" s="33"/>
      <c r="W31" s="68">
        <v>0.52500000000000002</v>
      </c>
      <c r="X31" s="67">
        <f t="shared" si="1"/>
        <v>3.8781250000000003E-2</v>
      </c>
      <c r="Y31" s="67">
        <f t="shared" si="2"/>
        <v>13.53746978243352</v>
      </c>
      <c r="Z31" s="67">
        <f t="shared" si="3"/>
        <v>18.683483314990411</v>
      </c>
      <c r="AA31" s="33"/>
      <c r="AB31" s="33"/>
      <c r="AC31" s="33"/>
    </row>
    <row r="32" spans="1:29" x14ac:dyDescent="0.35">
      <c r="A32" s="1">
        <v>8</v>
      </c>
      <c r="B32" s="5" t="s">
        <v>129</v>
      </c>
      <c r="C32" s="5"/>
      <c r="D32" s="5"/>
      <c r="E32" s="5"/>
      <c r="F32" s="5"/>
      <c r="G32" s="5"/>
      <c r="H32" s="5"/>
      <c r="I32" s="5"/>
      <c r="J32" s="72"/>
      <c r="K32" s="18"/>
      <c r="L32" s="17"/>
      <c r="M32" s="19"/>
      <c r="N32" s="19">
        <v>0.75</v>
      </c>
      <c r="O32" s="5">
        <v>0.98</v>
      </c>
      <c r="P32" s="27">
        <f t="shared" si="8"/>
        <v>42258.365788847972</v>
      </c>
      <c r="Q32" s="18">
        <f t="shared" si="4"/>
        <v>0.68848380775978413</v>
      </c>
      <c r="R32" s="27">
        <f t="shared" si="5"/>
        <v>845.16731577696021</v>
      </c>
      <c r="S32" s="6">
        <v>0</v>
      </c>
      <c r="T32" s="29">
        <f t="shared" si="6"/>
        <v>41413.19847307101</v>
      </c>
      <c r="U32" s="18">
        <f t="shared" si="7"/>
        <v>0.67471413160458837</v>
      </c>
      <c r="V32" s="33"/>
      <c r="W32" s="68">
        <v>0.55000000000000004</v>
      </c>
      <c r="X32" s="67">
        <f t="shared" si="1"/>
        <v>4.0125000000000008E-2</v>
      </c>
      <c r="Y32" s="67">
        <f t="shared" si="2"/>
        <v>13.707165109034266</v>
      </c>
      <c r="Z32" s="67">
        <f t="shared" si="3"/>
        <v>18.482737662543705</v>
      </c>
      <c r="AA32" s="33"/>
      <c r="AB32" s="33"/>
      <c r="AC32" s="33"/>
    </row>
    <row r="33" spans="1:29" x14ac:dyDescent="0.35">
      <c r="A33" s="1">
        <v>9</v>
      </c>
      <c r="B33" s="5" t="s">
        <v>81</v>
      </c>
      <c r="C33" s="5">
        <v>650</v>
      </c>
      <c r="D33" s="5"/>
      <c r="E33" s="5">
        <v>8.8999999999999995E-4</v>
      </c>
      <c r="F33" s="5">
        <f>C12</f>
        <v>2.5000000000000001E-2</v>
      </c>
      <c r="G33" s="5">
        <v>0</v>
      </c>
      <c r="H33" s="5">
        <f>C14</f>
        <v>0.05</v>
      </c>
      <c r="I33" s="5">
        <v>0</v>
      </c>
      <c r="J33" s="72">
        <v>0.4</v>
      </c>
      <c r="K33" s="26">
        <f>F33+G33*J33+H33*J33^2+I33</f>
        <v>3.3000000000000002E-2</v>
      </c>
      <c r="L33" s="25">
        <f>SQRT(2*Q33*$C$9/(E33*J33))/$S$9</f>
        <v>395.1502205547535</v>
      </c>
      <c r="M33" s="24">
        <f>J33/K33</f>
        <v>12.121212121212121</v>
      </c>
      <c r="N33" s="19">
        <v>0.75</v>
      </c>
      <c r="O33" s="64">
        <f>EXP(-6076.12*C33*(N33/3600)/(1.68781*L33*M33))</f>
        <v>0.90322735536173249</v>
      </c>
      <c r="P33" s="27">
        <f>T31</f>
        <v>42258.365788847972</v>
      </c>
      <c r="Q33" s="18">
        <f t="shared" si="4"/>
        <v>0.68848380775978413</v>
      </c>
      <c r="R33" s="27">
        <f t="shared" si="5"/>
        <v>4089.4538154781062</v>
      </c>
      <c r="S33" s="6">
        <v>0</v>
      </c>
      <c r="T33" s="29">
        <f t="shared" si="6"/>
        <v>38168.911973369868</v>
      </c>
      <c r="U33" s="18">
        <f t="shared" si="7"/>
        <v>0.62185740889224528</v>
      </c>
      <c r="V33" s="33"/>
      <c r="W33" s="68">
        <v>0.57499999999999996</v>
      </c>
      <c r="X33" s="67">
        <f t="shared" si="1"/>
        <v>4.1531249999999999E-2</v>
      </c>
      <c r="Y33" s="67">
        <f t="shared" si="2"/>
        <v>13.844996237772762</v>
      </c>
      <c r="Z33" s="67">
        <f t="shared" si="3"/>
        <v>18.258240346850986</v>
      </c>
      <c r="AA33" s="33"/>
      <c r="AB33" s="33"/>
      <c r="AC33" s="33"/>
    </row>
    <row r="34" spans="1:29" x14ac:dyDescent="0.35">
      <c r="A34" s="1">
        <v>10</v>
      </c>
      <c r="B34" s="5" t="s">
        <v>82</v>
      </c>
      <c r="C34" s="5"/>
      <c r="D34" s="5"/>
      <c r="E34" s="5"/>
      <c r="F34" s="5"/>
      <c r="G34" s="5"/>
      <c r="H34" s="5"/>
      <c r="I34" s="5"/>
      <c r="J34" s="72"/>
      <c r="K34" s="18"/>
      <c r="L34" s="17"/>
      <c r="M34" s="19"/>
      <c r="N34" s="19">
        <v>0.75</v>
      </c>
      <c r="O34" s="5">
        <v>0.99</v>
      </c>
      <c r="P34" s="27">
        <f t="shared" si="8"/>
        <v>38168.911973369868</v>
      </c>
      <c r="Q34" s="18">
        <f t="shared" si="4"/>
        <v>0.62185740889224528</v>
      </c>
      <c r="R34" s="27">
        <f t="shared" si="5"/>
        <v>381.68911973369904</v>
      </c>
      <c r="S34" s="6">
        <v>0</v>
      </c>
      <c r="T34" s="29">
        <f t="shared" si="6"/>
        <v>37787.222853636165</v>
      </c>
      <c r="U34" s="18">
        <f t="shared" si="7"/>
        <v>0.61563883480332271</v>
      </c>
      <c r="V34" s="33"/>
      <c r="W34" s="68">
        <v>0.6</v>
      </c>
      <c r="X34" s="67">
        <f t="shared" si="1"/>
        <v>4.2999999999999997E-2</v>
      </c>
      <c r="Y34" s="67">
        <f t="shared" si="2"/>
        <v>13.953488372093023</v>
      </c>
      <c r="Z34" s="67">
        <f t="shared" si="3"/>
        <v>18.01387602887171</v>
      </c>
      <c r="AA34" s="33"/>
      <c r="AB34" s="33"/>
      <c r="AC34" s="33"/>
    </row>
    <row r="35" spans="1:29" x14ac:dyDescent="0.35">
      <c r="A35" s="1">
        <v>11</v>
      </c>
      <c r="B35" s="5" t="s">
        <v>83</v>
      </c>
      <c r="C35" s="5"/>
      <c r="D35" s="5">
        <v>20</v>
      </c>
      <c r="E35" s="5">
        <v>1.7600000000000001E-3</v>
      </c>
      <c r="F35" s="5">
        <f>C12</f>
        <v>2.5000000000000001E-2</v>
      </c>
      <c r="G35" s="5">
        <v>0</v>
      </c>
      <c r="H35" s="5">
        <f>C14</f>
        <v>0.05</v>
      </c>
      <c r="I35" s="5">
        <v>0</v>
      </c>
      <c r="J35" s="72">
        <v>0.7</v>
      </c>
      <c r="K35" s="26">
        <f>F35+G35*J35+H35*J35^2+I35</f>
        <v>4.9500000000000002E-2</v>
      </c>
      <c r="L35" s="25">
        <f>SQRT(2*Q35*$C$9/(E35*J35))/$S$9</f>
        <v>200.86210614250285</v>
      </c>
      <c r="M35" s="24">
        <f>J35/K35</f>
        <v>14.14141414141414</v>
      </c>
      <c r="N35" s="19">
        <v>0.75</v>
      </c>
      <c r="O35" s="64">
        <f>EXP(-(D35*60)*(N35/3600)/(M35))</f>
        <v>0.98247677771791597</v>
      </c>
      <c r="P35" s="27">
        <f t="shared" si="8"/>
        <v>37787.222853636165</v>
      </c>
      <c r="Q35" s="18">
        <f t="shared" si="4"/>
        <v>0.61563883480332271</v>
      </c>
      <c r="R35" s="27">
        <f t="shared" si="5"/>
        <v>662.15390548691209</v>
      </c>
      <c r="S35" s="6">
        <v>0</v>
      </c>
      <c r="T35" s="29">
        <f t="shared" si="6"/>
        <v>37125.068948149252</v>
      </c>
      <c r="U35" s="18">
        <f t="shared" si="7"/>
        <v>0.60485085865558086</v>
      </c>
      <c r="V35" s="34"/>
      <c r="W35" s="68">
        <v>0.625</v>
      </c>
      <c r="X35" s="67">
        <f t="shared" si="1"/>
        <v>4.4531250000000001E-2</v>
      </c>
      <c r="Y35" s="67">
        <f t="shared" si="2"/>
        <v>14.035087719298245</v>
      </c>
      <c r="Z35" s="67">
        <f t="shared" si="3"/>
        <v>17.753137741296165</v>
      </c>
      <c r="AA35" s="34"/>
      <c r="AB35" s="34"/>
      <c r="AC35" s="34"/>
    </row>
    <row r="36" spans="1:29" x14ac:dyDescent="0.35">
      <c r="A36" s="66">
        <v>12</v>
      </c>
      <c r="B36" s="5" t="s">
        <v>84</v>
      </c>
      <c r="C36" s="5"/>
      <c r="D36" s="5"/>
      <c r="E36" s="5"/>
      <c r="F36" s="5"/>
      <c r="G36" s="5"/>
      <c r="H36" s="5"/>
      <c r="I36" s="5"/>
      <c r="J36" s="72"/>
      <c r="K36" s="18"/>
      <c r="L36" s="5"/>
      <c r="M36" s="19"/>
      <c r="N36" s="19">
        <v>0.6</v>
      </c>
      <c r="O36" s="5">
        <v>0.995</v>
      </c>
      <c r="P36" s="27">
        <f t="shared" si="8"/>
        <v>37125.068948149252</v>
      </c>
      <c r="Q36" s="18">
        <f t="shared" si="4"/>
        <v>0.60485085865558086</v>
      </c>
      <c r="R36" s="27">
        <f t="shared" si="5"/>
        <v>185.62534474074641</v>
      </c>
      <c r="S36" s="6">
        <v>0</v>
      </c>
      <c r="T36" s="29">
        <f t="shared" si="6"/>
        <v>36939.443603408508</v>
      </c>
      <c r="U36" s="18">
        <f t="shared" si="7"/>
        <v>0.60182660436230295</v>
      </c>
      <c r="W36" s="68">
        <v>0.65</v>
      </c>
      <c r="X36" s="67">
        <f t="shared" si="1"/>
        <v>4.6125000000000006E-2</v>
      </c>
      <c r="Y36" s="67">
        <f t="shared" si="2"/>
        <v>14.092140921409213</v>
      </c>
      <c r="Z36" s="67">
        <f t="shared" si="3"/>
        <v>17.479149589807154</v>
      </c>
    </row>
    <row r="37" spans="1:29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1"/>
        <v>4.7781250000000004E-2</v>
      </c>
      <c r="Y37" s="67">
        <f t="shared" si="2"/>
        <v>14.126880313930673</v>
      </c>
      <c r="Z37" s="67">
        <f t="shared" si="3"/>
        <v>17.194691144701093</v>
      </c>
    </row>
    <row r="38" spans="1:29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W38" s="68">
        <v>0.7</v>
      </c>
      <c r="X38" s="67">
        <f t="shared" si="1"/>
        <v>4.9500000000000002E-2</v>
      </c>
      <c r="Y38" s="67">
        <f t="shared" si="2"/>
        <v>14.14141414141414</v>
      </c>
      <c r="Z38" s="67">
        <f t="shared" si="3"/>
        <v>16.902222758264152</v>
      </c>
    </row>
    <row r="39" spans="1:29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1"/>
        <v>5.128125E-2</v>
      </c>
      <c r="Y39" s="67">
        <f t="shared" si="2"/>
        <v>14.137720901889091</v>
      </c>
      <c r="Z39" s="67">
        <f t="shared" si="3"/>
        <v>16.603911142889846</v>
      </c>
    </row>
    <row r="40" spans="1:29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1"/>
        <v>5.3125000000000006E-2</v>
      </c>
      <c r="Y40" s="67">
        <f t="shared" si="2"/>
        <v>14.117647058823527</v>
      </c>
      <c r="Z40" s="67">
        <f t="shared" si="3"/>
        <v>16.301654659471783</v>
      </c>
    </row>
    <row r="41" spans="1:29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28"/>
      <c r="S41" s="6"/>
      <c r="T41" s="6"/>
      <c r="U41" s="6"/>
      <c r="W41" s="68">
        <v>0.77500000000000002</v>
      </c>
      <c r="X41" s="67">
        <f t="shared" si="1"/>
        <v>5.5031250000000004E-2</v>
      </c>
      <c r="Y41" s="67">
        <f t="shared" si="2"/>
        <v>14.082907438955139</v>
      </c>
      <c r="Z41" s="67">
        <f t="shared" si="3"/>
        <v>15.997107881121188</v>
      </c>
    </row>
    <row r="42" spans="1:29" x14ac:dyDescent="0.35">
      <c r="W42" s="68">
        <v>0.8</v>
      </c>
      <c r="X42" s="67">
        <f t="shared" si="1"/>
        <v>5.7000000000000009E-2</v>
      </c>
      <c r="Y42" s="67">
        <f t="shared" si="2"/>
        <v>14.035087719298245</v>
      </c>
      <c r="Z42" s="67">
        <f t="shared" si="3"/>
        <v>15.691705105261679</v>
      </c>
    </row>
    <row r="43" spans="1:29" x14ac:dyDescent="0.35">
      <c r="Q43" s="80" t="s">
        <v>85</v>
      </c>
      <c r="R43" s="81"/>
      <c r="S43" s="82"/>
      <c r="W43" s="68">
        <v>0.82499999999999996</v>
      </c>
      <c r="X43" s="67">
        <f t="shared" si="1"/>
        <v>5.903125E-2</v>
      </c>
      <c r="Y43" s="67">
        <f t="shared" si="2"/>
        <v>13.975648491265218</v>
      </c>
      <c r="Z43" s="67">
        <f t="shared" si="3"/>
        <v>15.386682583025896</v>
      </c>
    </row>
    <row r="44" spans="1:29" x14ac:dyDescent="0.35">
      <c r="Q44" s="1" t="s">
        <v>86</v>
      </c>
      <c r="R44" s="32">
        <f>SUM(R25:R41)</f>
        <v>20904.604831373883</v>
      </c>
      <c r="S44" s="1" t="s">
        <v>7</v>
      </c>
      <c r="W44" s="68">
        <v>0.85</v>
      </c>
      <c r="X44" s="67">
        <f t="shared" si="1"/>
        <v>6.1124999999999999E-2</v>
      </c>
      <c r="Y44" s="67">
        <f t="shared" si="2"/>
        <v>13.905930470347649</v>
      </c>
      <c r="Z44" s="67">
        <f t="shared" si="3"/>
        <v>15.083099316634581</v>
      </c>
    </row>
    <row r="45" spans="1:29" x14ac:dyDescent="0.35">
      <c r="Q45" s="1" t="s">
        <v>87</v>
      </c>
      <c r="R45" s="32">
        <f>R44*C21</f>
        <v>1254.2762898824328</v>
      </c>
      <c r="S45" s="1" t="s">
        <v>7</v>
      </c>
    </row>
    <row r="46" spans="1:29" x14ac:dyDescent="0.35">
      <c r="Q46" s="1" t="s">
        <v>88</v>
      </c>
      <c r="R46" s="32">
        <f>R44+R45</f>
        <v>22158.881121256316</v>
      </c>
      <c r="S46" s="1" t="s">
        <v>7</v>
      </c>
    </row>
  </sheetData>
  <mergeCells count="13">
    <mergeCell ref="Q43:S43"/>
    <mergeCell ref="M1:P1"/>
    <mergeCell ref="B2:D2"/>
    <mergeCell ref="F2:H2"/>
    <mergeCell ref="B5:D5"/>
    <mergeCell ref="F7:H7"/>
    <mergeCell ref="B8:D8"/>
    <mergeCell ref="J2:J3"/>
    <mergeCell ref="B11:D11"/>
    <mergeCell ref="N14:O14"/>
    <mergeCell ref="A20:U20"/>
    <mergeCell ref="E21:M21"/>
    <mergeCell ref="K2:K3"/>
  </mergeCells>
  <conditionalFormatting sqref="Y1:Y1048576">
    <cfRule type="top10" dxfId="3" priority="2" rank="1"/>
  </conditionalFormatting>
  <conditionalFormatting sqref="Z1:Z1048576">
    <cfRule type="top10" dxfId="2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2C03-07BE-46F1-BA81-CE83ADAFBD2E}">
  <sheetPr codeName="Sheet6"/>
  <dimension ref="A1:AC50"/>
  <sheetViews>
    <sheetView zoomScale="75" zoomScaleNormal="75" workbookViewId="0">
      <pane xSplit="2" topLeftCell="C1" activePane="topRight" state="frozen"/>
      <selection pane="topRight" activeCell="O3" sqref="O3:O7"/>
    </sheetView>
  </sheetViews>
  <sheetFormatPr defaultRowHeight="14.5" x14ac:dyDescent="0.35"/>
  <cols>
    <col min="2" max="2" width="31" customWidth="1"/>
    <col min="3" max="3" width="8.81640625" customWidth="1"/>
    <col min="6" max="6" width="10.1796875" customWidth="1"/>
    <col min="15" max="15" width="13.81640625" bestFit="1" customWidth="1"/>
    <col min="16" max="16" width="11.54296875" bestFit="1" customWidth="1"/>
    <col min="17" max="17" width="11.54296875" customWidth="1"/>
    <col min="18" max="18" width="13" bestFit="1" customWidth="1"/>
    <col min="19" max="19" width="10.1796875" customWidth="1"/>
    <col min="21" max="21" width="11.1796875" customWidth="1"/>
    <col min="23" max="23" width="11.81640625" customWidth="1"/>
    <col min="25" max="25" width="15.1796875" customWidth="1"/>
    <col min="27" max="27" width="13.54296875" customWidth="1"/>
    <col min="29" max="29" width="11.453125" customWidth="1"/>
  </cols>
  <sheetData>
    <row r="1" spans="2:29" x14ac:dyDescent="0.35">
      <c r="M1" s="75" t="s">
        <v>0</v>
      </c>
      <c r="N1" s="76"/>
      <c r="O1" s="76"/>
      <c r="P1" s="77"/>
      <c r="R1" s="73" t="s">
        <v>1</v>
      </c>
      <c r="S1" s="73" t="s">
        <v>2</v>
      </c>
    </row>
    <row r="2" spans="2:29" x14ac:dyDescent="0.35">
      <c r="B2" s="78" t="s">
        <v>3</v>
      </c>
      <c r="C2" s="78"/>
      <c r="D2" s="78"/>
      <c r="F2" s="74" t="s">
        <v>4</v>
      </c>
      <c r="G2" s="74"/>
      <c r="H2" s="74"/>
      <c r="J2" s="79" t="s">
        <v>5</v>
      </c>
      <c r="K2" s="88" t="s">
        <v>134</v>
      </c>
      <c r="M2" s="8"/>
      <c r="N2" s="9" t="s">
        <v>6</v>
      </c>
      <c r="O2" s="9" t="s">
        <v>7</v>
      </c>
      <c r="P2" s="10" t="s">
        <v>8</v>
      </c>
      <c r="R2" s="73" t="s">
        <v>9</v>
      </c>
      <c r="S2" s="73" t="s">
        <v>10</v>
      </c>
    </row>
    <row r="3" spans="2:29" x14ac:dyDescent="0.35">
      <c r="B3" s="2" t="s">
        <v>11</v>
      </c>
      <c r="C3" s="7">
        <v>2.34</v>
      </c>
      <c r="D3" s="2"/>
      <c r="F3" s="1" t="s">
        <v>12</v>
      </c>
      <c r="G3" s="31">
        <v>61956.008811326225</v>
      </c>
      <c r="H3" s="1" t="s">
        <v>7</v>
      </c>
      <c r="J3" s="79"/>
      <c r="K3" s="88"/>
      <c r="M3" s="8" t="s">
        <v>13</v>
      </c>
      <c r="N3" s="20">
        <f>O3*0.4536</f>
        <v>28103.245596768516</v>
      </c>
      <c r="O3" s="20">
        <f>SUM(O4:O7)</f>
        <v>61956.008811218067</v>
      </c>
      <c r="P3" s="10"/>
      <c r="R3" s="22">
        <v>0</v>
      </c>
      <c r="S3" s="22">
        <v>2.3768923674999999E-3</v>
      </c>
    </row>
    <row r="4" spans="2:29" x14ac:dyDescent="0.35">
      <c r="B4" s="2" t="s">
        <v>14</v>
      </c>
      <c r="C4" s="7">
        <v>-0.13</v>
      </c>
      <c r="D4" s="2"/>
      <c r="F4" s="1" t="s">
        <v>15</v>
      </c>
      <c r="G4" s="30">
        <f>(O5+O6+O4+R46)</f>
        <v>61956.008811218067</v>
      </c>
      <c r="H4" s="1" t="s">
        <v>7</v>
      </c>
      <c r="J4" s="1">
        <f>C3*$G$3^C4</f>
        <v>0.557500178969904</v>
      </c>
      <c r="K4">
        <v>34540</v>
      </c>
      <c r="M4" s="8" t="s">
        <v>16</v>
      </c>
      <c r="N4" s="20">
        <f t="shared" ref="N4:N7" si="0">O4*0.4536</f>
        <v>15667.564449860965</v>
      </c>
      <c r="O4" s="20">
        <f>J4*G3</f>
        <v>34540.486000575322</v>
      </c>
      <c r="P4" s="11">
        <f>O4/$O$3</f>
        <v>0.55750017897087722</v>
      </c>
      <c r="R4" s="22">
        <v>15000</v>
      </c>
      <c r="S4" s="22">
        <v>1.495443163997E-3</v>
      </c>
    </row>
    <row r="5" spans="2:29" x14ac:dyDescent="0.35">
      <c r="B5" s="78" t="s">
        <v>17</v>
      </c>
      <c r="C5" s="78"/>
      <c r="D5" s="78"/>
      <c r="F5" s="1" t="s">
        <v>18</v>
      </c>
      <c r="G5" s="65">
        <f>G3-G4</f>
        <v>1.0815710993483663E-7</v>
      </c>
      <c r="H5" s="1" t="s">
        <v>7</v>
      </c>
      <c r="M5" s="8" t="s">
        <v>19</v>
      </c>
      <c r="N5" s="20">
        <f t="shared" si="0"/>
        <v>1986.768</v>
      </c>
      <c r="O5" s="20">
        <f>C6</f>
        <v>4380</v>
      </c>
      <c r="P5" s="11">
        <f>O5/$O$3</f>
        <v>7.0695322117116988E-2</v>
      </c>
      <c r="R5" s="22">
        <v>25000</v>
      </c>
      <c r="S5" s="22">
        <v>1.0648904130489999E-3</v>
      </c>
    </row>
    <row r="6" spans="2:29" x14ac:dyDescent="0.35">
      <c r="B6" s="2" t="s">
        <v>19</v>
      </c>
      <c r="C6" s="7">
        <v>4380</v>
      </c>
      <c r="D6" s="2" t="s">
        <v>7</v>
      </c>
      <c r="M6" s="8" t="s">
        <v>20</v>
      </c>
      <c r="N6" s="20">
        <f t="shared" si="0"/>
        <v>136.08000000000001</v>
      </c>
      <c r="O6" s="20">
        <f>C7</f>
        <v>300</v>
      </c>
      <c r="P6" s="11">
        <f>O6/$O$3</f>
        <v>4.8421453504874654E-3</v>
      </c>
      <c r="R6" s="22">
        <v>35000</v>
      </c>
      <c r="S6" s="22">
        <v>7.3628591926299997E-4</v>
      </c>
    </row>
    <row r="7" spans="2:29" x14ac:dyDescent="0.35">
      <c r="B7" s="2" t="s">
        <v>20</v>
      </c>
      <c r="C7" s="7">
        <v>300</v>
      </c>
      <c r="D7" s="2" t="s">
        <v>7</v>
      </c>
      <c r="F7" s="74" t="s">
        <v>21</v>
      </c>
      <c r="G7" s="74"/>
      <c r="H7" s="74"/>
      <c r="M7" s="8" t="s">
        <v>22</v>
      </c>
      <c r="N7" s="20">
        <f t="shared" si="0"/>
        <v>10312.833146907551</v>
      </c>
      <c r="O7" s="20">
        <f>R46</f>
        <v>22735.522810642749</v>
      </c>
      <c r="P7" s="11">
        <f>O7/$O$3</f>
        <v>0.36696235356151835</v>
      </c>
    </row>
    <row r="8" spans="2:29" x14ac:dyDescent="0.35">
      <c r="B8" s="78" t="s">
        <v>23</v>
      </c>
      <c r="C8" s="78"/>
      <c r="D8" s="78"/>
      <c r="F8" s="1" t="s">
        <v>24</v>
      </c>
      <c r="G8" s="32">
        <f>G3-O4-O5-O6</f>
        <v>22735.522810750903</v>
      </c>
      <c r="H8" s="1" t="s">
        <v>7</v>
      </c>
      <c r="M8" s="71"/>
      <c r="P8" s="10"/>
      <c r="Y8" t="s">
        <v>25</v>
      </c>
      <c r="Z8" t="s">
        <v>26</v>
      </c>
    </row>
    <row r="9" spans="2:29" x14ac:dyDescent="0.35">
      <c r="B9" s="2" t="s">
        <v>27</v>
      </c>
      <c r="C9" s="7">
        <v>115</v>
      </c>
      <c r="D9" s="2" t="s">
        <v>28</v>
      </c>
      <c r="F9" s="1" t="s">
        <v>29</v>
      </c>
      <c r="G9" s="32">
        <f>R46</f>
        <v>22735.522810642749</v>
      </c>
      <c r="H9" s="1" t="s">
        <v>7</v>
      </c>
      <c r="M9" s="8" t="s">
        <v>30</v>
      </c>
      <c r="N9" s="9" t="s">
        <v>31</v>
      </c>
      <c r="O9" s="9" t="s">
        <v>32</v>
      </c>
      <c r="P9" s="10"/>
      <c r="R9" s="9" t="s">
        <v>33</v>
      </c>
      <c r="S9">
        <v>1.68781</v>
      </c>
      <c r="W9" s="69" t="s">
        <v>34</v>
      </c>
      <c r="X9" s="70" t="s">
        <v>35</v>
      </c>
      <c r="Y9" s="70" t="s">
        <v>36</v>
      </c>
      <c r="Z9" s="70" t="s">
        <v>37</v>
      </c>
    </row>
    <row r="10" spans="2:29" x14ac:dyDescent="0.35">
      <c r="B10" s="2" t="s">
        <v>38</v>
      </c>
      <c r="C10" s="23">
        <v>0.75</v>
      </c>
      <c r="D10" s="2"/>
      <c r="F10" s="1" t="s">
        <v>39</v>
      </c>
      <c r="G10" s="32">
        <f>G8-G9</f>
        <v>1.0815347195602953E-7</v>
      </c>
      <c r="H10" s="1" t="s">
        <v>7</v>
      </c>
      <c r="M10" s="8" t="s">
        <v>40</v>
      </c>
      <c r="N10" s="12">
        <f>O10/3.28^2</f>
        <v>50.076954073676774</v>
      </c>
      <c r="O10" s="21">
        <f>O3/C9</f>
        <v>538.74790270624408</v>
      </c>
      <c r="P10" s="10"/>
      <c r="W10" s="68">
        <v>0</v>
      </c>
      <c r="X10" s="67">
        <f>$C$12+$C$13*W10+$C$14*W10^2+$C$15</f>
        <v>2.5000000000000001E-2</v>
      </c>
      <c r="Y10" s="67">
        <f>W10/X10</f>
        <v>0</v>
      </c>
      <c r="Z10" s="67">
        <f>W10^(1/2)/X10</f>
        <v>0</v>
      </c>
    </row>
    <row r="11" spans="2:29" x14ac:dyDescent="0.35">
      <c r="B11" s="78" t="s">
        <v>41</v>
      </c>
      <c r="C11" s="78"/>
      <c r="D11" s="78"/>
      <c r="M11" s="8"/>
      <c r="N11" s="9"/>
      <c r="O11" s="9"/>
      <c r="P11" s="10"/>
      <c r="W11" s="68">
        <v>2.5000000000000001E-2</v>
      </c>
      <c r="X11" s="67">
        <f>$C$12+$C$13*W11+$C$14*W11^2+$C$15</f>
        <v>2.5031250000000001E-2</v>
      </c>
      <c r="Y11" s="67">
        <f t="shared" ref="Y11:Y50" si="1">W11/X11</f>
        <v>0.99875156054931336</v>
      </c>
      <c r="Z11" s="67">
        <f t="shared" ref="Z11:Z50" si="2">W11^(1/2)/X11</f>
        <v>6.3166594959667997</v>
      </c>
    </row>
    <row r="12" spans="2:29" x14ac:dyDescent="0.35">
      <c r="B12" s="2" t="s">
        <v>42</v>
      </c>
      <c r="C12" s="2">
        <v>2.5000000000000001E-2</v>
      </c>
      <c r="D12" s="2"/>
      <c r="M12" s="8" t="s">
        <v>43</v>
      </c>
      <c r="N12" s="9" t="s">
        <v>44</v>
      </c>
      <c r="O12" s="9" t="s">
        <v>45</v>
      </c>
      <c r="P12" s="10"/>
      <c r="V12" s="9"/>
      <c r="W12" s="68">
        <v>0.05</v>
      </c>
      <c r="X12" s="67">
        <f t="shared" ref="X12:X50" si="3">$C$12+$C$13*W12+$C$14*W12^2+$C$15</f>
        <v>2.5125000000000001E-2</v>
      </c>
      <c r="Y12" s="67">
        <f t="shared" si="1"/>
        <v>1.9900497512437811</v>
      </c>
      <c r="Z12" s="67">
        <f>W12^(1/2)/X12</f>
        <v>8.8997730447752819</v>
      </c>
    </row>
    <row r="13" spans="2:29" x14ac:dyDescent="0.35">
      <c r="B13" s="2" t="s">
        <v>46</v>
      </c>
      <c r="C13" s="2">
        <v>0</v>
      </c>
      <c r="D13" s="2"/>
      <c r="M13" s="8" t="s">
        <v>47</v>
      </c>
      <c r="N13" s="12">
        <f>O13*0.00444822</f>
        <v>206.69546813567732</v>
      </c>
      <c r="O13" s="20">
        <f>C10*O3</f>
        <v>46467.006608413547</v>
      </c>
      <c r="P13" s="13"/>
      <c r="V13" s="9"/>
      <c r="W13" s="68">
        <v>7.4999999999999997E-2</v>
      </c>
      <c r="X13" s="67">
        <f t="shared" si="3"/>
        <v>2.5281250000000002E-2</v>
      </c>
      <c r="Y13" s="67">
        <f t="shared" si="1"/>
        <v>2.9666254635352285</v>
      </c>
      <c r="Z13" s="67">
        <f t="shared" si="2"/>
        <v>10.832584573649761</v>
      </c>
    </row>
    <row r="14" spans="2:29" x14ac:dyDescent="0.35">
      <c r="B14" s="2" t="s">
        <v>48</v>
      </c>
      <c r="C14" s="2">
        <v>0.05</v>
      </c>
      <c r="D14" s="2"/>
      <c r="M14" s="14"/>
      <c r="N14" s="83" t="s">
        <v>49</v>
      </c>
      <c r="O14" s="83"/>
      <c r="P14" s="15">
        <f>AC35</f>
        <v>0</v>
      </c>
      <c r="W14" s="68">
        <v>0.1</v>
      </c>
      <c r="X14" s="67">
        <f t="shared" si="3"/>
        <v>2.5500000000000002E-2</v>
      </c>
      <c r="Y14" s="67">
        <f t="shared" si="1"/>
        <v>3.9215686274509802</v>
      </c>
      <c r="Z14" s="67">
        <f t="shared" si="2"/>
        <v>12.401088863405409</v>
      </c>
    </row>
    <row r="15" spans="2:29" x14ac:dyDescent="0.35">
      <c r="B15" s="2" t="s">
        <v>50</v>
      </c>
      <c r="C15" s="2">
        <v>0</v>
      </c>
      <c r="D15" s="2"/>
      <c r="V15" s="33"/>
      <c r="W15" s="68">
        <v>0.125</v>
      </c>
      <c r="X15" s="67">
        <f t="shared" si="3"/>
        <v>2.5781250000000002E-2</v>
      </c>
      <c r="Y15" s="67">
        <f t="shared" si="1"/>
        <v>4.8484848484848477</v>
      </c>
      <c r="Z15" s="67">
        <f t="shared" si="2"/>
        <v>13.713586059375467</v>
      </c>
      <c r="AA15" s="33"/>
      <c r="AB15" s="33"/>
      <c r="AC15" s="33"/>
    </row>
    <row r="16" spans="2:29" x14ac:dyDescent="0.35">
      <c r="B16" s="16"/>
      <c r="C16" s="16"/>
      <c r="D16" s="16"/>
      <c r="W16" s="68">
        <v>0.15</v>
      </c>
      <c r="X16" s="67">
        <f t="shared" si="3"/>
        <v>2.6125000000000002E-2</v>
      </c>
      <c r="Y16" s="67">
        <f t="shared" si="1"/>
        <v>5.7416267942583721</v>
      </c>
      <c r="Z16" s="67">
        <f t="shared" si="2"/>
        <v>14.824816636200637</v>
      </c>
      <c r="AA16" s="33"/>
      <c r="AB16" s="33"/>
      <c r="AC16" s="33"/>
    </row>
    <row r="17" spans="1:29" x14ac:dyDescent="0.35">
      <c r="B17" s="16"/>
      <c r="C17" s="16"/>
      <c r="D17" s="16"/>
      <c r="V17" s="33" t="s">
        <v>26</v>
      </c>
      <c r="W17" s="68">
        <v>0.17499999999999999</v>
      </c>
      <c r="X17" s="67">
        <f t="shared" si="3"/>
        <v>2.6531250000000003E-2</v>
      </c>
      <c r="Y17" s="67">
        <f t="shared" si="1"/>
        <v>6.5959952885747928</v>
      </c>
      <c r="Z17" s="67">
        <f t="shared" si="2"/>
        <v>15.767444551878926</v>
      </c>
      <c r="AA17" s="33"/>
      <c r="AB17" s="33"/>
      <c r="AC17" s="33"/>
    </row>
    <row r="18" spans="1:29" x14ac:dyDescent="0.35">
      <c r="B18" s="16"/>
      <c r="C18" s="16"/>
      <c r="D18" s="16"/>
      <c r="V18" s="33"/>
      <c r="W18" s="68">
        <v>0.2</v>
      </c>
      <c r="X18" s="67">
        <f t="shared" si="3"/>
        <v>2.7000000000000003E-2</v>
      </c>
      <c r="Y18" s="67">
        <f t="shared" si="1"/>
        <v>7.4074074074074066</v>
      </c>
      <c r="Z18" s="67">
        <f t="shared" si="2"/>
        <v>16.563466499998441</v>
      </c>
      <c r="AA18" s="33"/>
      <c r="AB18" s="33"/>
      <c r="AC18" s="33"/>
    </row>
    <row r="19" spans="1:29" x14ac:dyDescent="0.35">
      <c r="V19" s="33"/>
      <c r="W19" s="68">
        <v>0.22500000000000001</v>
      </c>
      <c r="X19" s="67">
        <f t="shared" si="3"/>
        <v>2.753125E-2</v>
      </c>
      <c r="Y19" s="67">
        <f t="shared" si="1"/>
        <v>8.172531214528945</v>
      </c>
      <c r="Z19" s="67">
        <f t="shared" si="2"/>
        <v>17.229208591155754</v>
      </c>
      <c r="AA19" s="33"/>
      <c r="AB19" s="33"/>
      <c r="AC19" s="33"/>
    </row>
    <row r="20" spans="1:29" x14ac:dyDescent="0.35">
      <c r="A20" s="84" t="s">
        <v>51</v>
      </c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6"/>
      <c r="V20" s="33"/>
      <c r="W20" s="68">
        <v>0.25</v>
      </c>
      <c r="X20" s="67">
        <f t="shared" si="3"/>
        <v>2.8125000000000001E-2</v>
      </c>
      <c r="Y20" s="67">
        <f t="shared" si="1"/>
        <v>8.8888888888888893</v>
      </c>
      <c r="Z20" s="67">
        <f t="shared" si="2"/>
        <v>17.777777777777779</v>
      </c>
      <c r="AA20" s="33"/>
      <c r="AB20" s="33"/>
      <c r="AC20" s="33"/>
    </row>
    <row r="21" spans="1:29" x14ac:dyDescent="0.35">
      <c r="A21" s="1"/>
      <c r="B21" s="2" t="s">
        <v>52</v>
      </c>
      <c r="C21" s="3">
        <v>0.06</v>
      </c>
      <c r="D21" s="1"/>
      <c r="E21" s="74" t="s">
        <v>53</v>
      </c>
      <c r="F21" s="74"/>
      <c r="G21" s="74"/>
      <c r="H21" s="74"/>
      <c r="I21" s="74"/>
      <c r="J21" s="74"/>
      <c r="K21" s="74"/>
      <c r="L21" s="74"/>
      <c r="M21" s="74"/>
      <c r="N21" s="4">
        <f>R46/P25</f>
        <v>0.3669623535608777</v>
      </c>
      <c r="O21" s="1"/>
      <c r="P21" s="2"/>
      <c r="Q21" s="2"/>
      <c r="R21" s="2"/>
      <c r="S21" s="2"/>
      <c r="T21" s="4"/>
      <c r="U21" s="1"/>
      <c r="V21" s="33"/>
      <c r="W21" s="68">
        <v>0.27500000000000002</v>
      </c>
      <c r="X21" s="67">
        <f t="shared" si="3"/>
        <v>2.8781250000000001E-2</v>
      </c>
      <c r="Y21" s="67">
        <f t="shared" si="1"/>
        <v>9.5548317046688389</v>
      </c>
      <c r="Z21" s="67">
        <f t="shared" si="2"/>
        <v>18.220349153878853</v>
      </c>
      <c r="AA21" s="33"/>
      <c r="AB21" s="33"/>
      <c r="AC21" s="33"/>
    </row>
    <row r="22" spans="1:29" x14ac:dyDescent="0.3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33"/>
      <c r="W22" s="68">
        <v>0.3</v>
      </c>
      <c r="X22" s="67">
        <f t="shared" si="3"/>
        <v>2.9500000000000002E-2</v>
      </c>
      <c r="Y22" s="67">
        <f t="shared" si="1"/>
        <v>10.169491525423728</v>
      </c>
      <c r="Z22" s="67">
        <f t="shared" si="2"/>
        <v>18.566866356107322</v>
      </c>
      <c r="AA22" s="33"/>
      <c r="AB22" s="33"/>
      <c r="AC22" s="33"/>
    </row>
    <row r="23" spans="1:29" x14ac:dyDescent="0.35">
      <c r="A23" s="2" t="s">
        <v>54</v>
      </c>
      <c r="B23" s="2" t="s">
        <v>55</v>
      </c>
      <c r="C23" s="2" t="s">
        <v>56</v>
      </c>
      <c r="D23" s="2" t="s">
        <v>57</v>
      </c>
      <c r="E23" s="2" t="s">
        <v>58</v>
      </c>
      <c r="F23" s="2" t="s">
        <v>42</v>
      </c>
      <c r="G23" s="2" t="s">
        <v>46</v>
      </c>
      <c r="H23" s="2" t="s">
        <v>48</v>
      </c>
      <c r="I23" s="2" t="s">
        <v>50</v>
      </c>
      <c r="J23" s="2" t="s">
        <v>34</v>
      </c>
      <c r="K23" s="2" t="s">
        <v>35</v>
      </c>
      <c r="L23" s="2" t="s">
        <v>59</v>
      </c>
      <c r="M23" s="2" t="s">
        <v>60</v>
      </c>
      <c r="N23" s="2" t="s">
        <v>61</v>
      </c>
      <c r="O23" s="2" t="s">
        <v>62</v>
      </c>
      <c r="P23" s="2" t="s">
        <v>63</v>
      </c>
      <c r="Q23" s="2" t="s">
        <v>64</v>
      </c>
      <c r="R23" s="2" t="s">
        <v>65</v>
      </c>
      <c r="S23" s="2" t="s">
        <v>66</v>
      </c>
      <c r="T23" s="2" t="s">
        <v>67</v>
      </c>
      <c r="U23" s="2" t="s">
        <v>68</v>
      </c>
      <c r="V23" s="33" t="s">
        <v>25</v>
      </c>
      <c r="W23" s="68">
        <v>0.32500000000000001</v>
      </c>
      <c r="X23" s="67">
        <f t="shared" si="3"/>
        <v>3.0281250000000003E-2</v>
      </c>
      <c r="Y23" s="67">
        <f t="shared" si="1"/>
        <v>10.732714138286893</v>
      </c>
      <c r="Z23" s="67">
        <f t="shared" si="2"/>
        <v>18.826426007828903</v>
      </c>
      <c r="AA23" s="33"/>
      <c r="AB23" s="33"/>
      <c r="AC23" s="33"/>
    </row>
    <row r="24" spans="1:29" x14ac:dyDescent="0.35">
      <c r="A24" s="2"/>
      <c r="B24" s="2"/>
      <c r="C24" s="2" t="s">
        <v>69</v>
      </c>
      <c r="D24" s="2" t="s">
        <v>70</v>
      </c>
      <c r="E24" s="2" t="s">
        <v>10</v>
      </c>
      <c r="F24" s="2"/>
      <c r="G24" s="2"/>
      <c r="H24" s="2"/>
      <c r="I24" s="2"/>
      <c r="J24" s="2"/>
      <c r="K24" s="2" t="s">
        <v>71</v>
      </c>
      <c r="L24" s="2" t="s">
        <v>71</v>
      </c>
      <c r="M24" s="2"/>
      <c r="N24" s="2" t="s">
        <v>72</v>
      </c>
      <c r="O24" s="2"/>
      <c r="P24" s="2" t="s">
        <v>73</v>
      </c>
      <c r="Q24" s="2" t="s">
        <v>74</v>
      </c>
      <c r="R24" s="2" t="s">
        <v>73</v>
      </c>
      <c r="S24" s="2" t="s">
        <v>73</v>
      </c>
      <c r="T24" s="2" t="s">
        <v>73</v>
      </c>
      <c r="U24" s="2" t="s">
        <v>74</v>
      </c>
      <c r="V24" s="33"/>
      <c r="W24" s="68">
        <v>0.35</v>
      </c>
      <c r="X24" s="67">
        <f t="shared" si="3"/>
        <v>3.1125E-2</v>
      </c>
      <c r="Y24" s="67">
        <f t="shared" si="1"/>
        <v>11.244979919678714</v>
      </c>
      <c r="Z24" s="67">
        <f t="shared" si="2"/>
        <v>19.007485246906395</v>
      </c>
      <c r="AA24" s="33"/>
      <c r="AB24" s="33"/>
      <c r="AC24" s="33"/>
    </row>
    <row r="25" spans="1:29" x14ac:dyDescent="0.35">
      <c r="A25" s="1">
        <v>1</v>
      </c>
      <c r="B25" s="5" t="s">
        <v>75</v>
      </c>
      <c r="C25" s="5"/>
      <c r="D25" s="5"/>
      <c r="E25" s="5"/>
      <c r="F25" s="5"/>
      <c r="G25" s="5"/>
      <c r="H25" s="5"/>
      <c r="I25" s="5"/>
      <c r="J25" s="72"/>
      <c r="K25" s="18"/>
      <c r="L25" s="17"/>
      <c r="M25" s="19"/>
      <c r="N25" s="19">
        <v>0.6</v>
      </c>
      <c r="O25" s="5">
        <v>0.995</v>
      </c>
      <c r="P25" s="27">
        <f>G3</f>
        <v>61956.008811326225</v>
      </c>
      <c r="Q25" s="18">
        <f t="shared" ref="Q25:Q36" si="4">P25/$P$25</f>
        <v>1</v>
      </c>
      <c r="R25" s="27">
        <f t="shared" ref="R25:R36" si="5">P25*(1-O25)</f>
        <v>309.78004405663143</v>
      </c>
      <c r="S25" s="6">
        <v>0</v>
      </c>
      <c r="T25" s="29">
        <f t="shared" ref="T25:T36" si="6">P25-R25-S25</f>
        <v>61646.228767269597</v>
      </c>
      <c r="U25" s="18">
        <f t="shared" ref="U25:U36" si="7">T25/$P$25</f>
        <v>0.99500000000000011</v>
      </c>
      <c r="V25" s="33"/>
      <c r="W25" s="68">
        <v>0.375</v>
      </c>
      <c r="X25" s="67">
        <f t="shared" si="3"/>
        <v>3.2031250000000004E-2</v>
      </c>
      <c r="Y25" s="67">
        <f t="shared" si="1"/>
        <v>11.70731707317073</v>
      </c>
      <c r="Z25" s="67">
        <f t="shared" si="2"/>
        <v>19.117968724161386</v>
      </c>
      <c r="AA25" s="33"/>
      <c r="AB25" s="33"/>
      <c r="AC25" s="33"/>
    </row>
    <row r="26" spans="1:29" x14ac:dyDescent="0.35">
      <c r="A26" s="1">
        <v>2</v>
      </c>
      <c r="B26" s="5" t="s">
        <v>76</v>
      </c>
      <c r="C26" s="5"/>
      <c r="D26" s="5"/>
      <c r="E26" s="5"/>
      <c r="F26" s="5"/>
      <c r="G26" s="5"/>
      <c r="H26" s="5"/>
      <c r="I26" s="5"/>
      <c r="J26" s="72"/>
      <c r="K26" s="18"/>
      <c r="L26" s="17"/>
      <c r="M26" s="19"/>
      <c r="N26" s="19">
        <v>1.85</v>
      </c>
      <c r="O26" s="5">
        <v>0.99</v>
      </c>
      <c r="P26" s="27">
        <f>T25</f>
        <v>61646.228767269597</v>
      </c>
      <c r="Q26" s="18">
        <f t="shared" si="4"/>
        <v>0.99500000000000011</v>
      </c>
      <c r="R26" s="27">
        <f t="shared" si="5"/>
        <v>616.46228767269656</v>
      </c>
      <c r="S26" s="6">
        <v>0</v>
      </c>
      <c r="T26" s="29">
        <f t="shared" si="6"/>
        <v>61029.766479596903</v>
      </c>
      <c r="U26" s="18">
        <f t="shared" si="7"/>
        <v>0.98505000000000009</v>
      </c>
      <c r="V26" s="33"/>
      <c r="W26" s="68">
        <v>0.4</v>
      </c>
      <c r="X26" s="67">
        <f t="shared" si="3"/>
        <v>3.3000000000000002E-2</v>
      </c>
      <c r="Y26" s="67">
        <f t="shared" si="1"/>
        <v>12.121212121212121</v>
      </c>
      <c r="Z26" s="67">
        <f t="shared" si="2"/>
        <v>19.165319152535631</v>
      </c>
      <c r="AA26" s="33"/>
      <c r="AB26" s="33"/>
      <c r="AC26" s="33"/>
    </row>
    <row r="27" spans="1:29" x14ac:dyDescent="0.35">
      <c r="A27" s="1">
        <v>3</v>
      </c>
      <c r="B27" s="5" t="s">
        <v>129</v>
      </c>
      <c r="C27" s="5"/>
      <c r="D27" s="5"/>
      <c r="E27" s="5"/>
      <c r="F27" s="5"/>
      <c r="G27" s="5"/>
      <c r="H27" s="5"/>
      <c r="I27" s="5"/>
      <c r="J27" s="72"/>
      <c r="K27" s="18"/>
      <c r="L27" s="17"/>
      <c r="M27" s="19"/>
      <c r="N27" s="19">
        <v>0.75</v>
      </c>
      <c r="O27" s="5">
        <v>0.98</v>
      </c>
      <c r="P27" s="27">
        <f>T26</f>
        <v>61029.766479596903</v>
      </c>
      <c r="Q27" s="18">
        <f t="shared" si="4"/>
        <v>0.98505000000000009</v>
      </c>
      <c r="R27" s="27">
        <f t="shared" si="5"/>
        <v>1220.5953295919392</v>
      </c>
      <c r="S27" s="6">
        <v>0</v>
      </c>
      <c r="T27" s="29">
        <f t="shared" si="6"/>
        <v>59809.171150004964</v>
      </c>
      <c r="U27" s="18">
        <f t="shared" si="7"/>
        <v>0.96534900000000012</v>
      </c>
      <c r="V27" s="33"/>
      <c r="W27" s="68">
        <v>0.42499999999999999</v>
      </c>
      <c r="X27" s="67">
        <f t="shared" si="3"/>
        <v>3.4031249999999999E-2</v>
      </c>
      <c r="Y27" s="67">
        <f t="shared" si="1"/>
        <v>12.488521579430671</v>
      </c>
      <c r="Z27" s="67">
        <f t="shared" si="2"/>
        <v>19.156517627776378</v>
      </c>
      <c r="AA27" s="33"/>
      <c r="AB27" s="33"/>
      <c r="AC27" s="33"/>
    </row>
    <row r="28" spans="1:29" x14ac:dyDescent="0.35">
      <c r="A28" s="1">
        <v>4</v>
      </c>
      <c r="B28" s="5" t="s">
        <v>78</v>
      </c>
      <c r="C28" s="5">
        <v>650</v>
      </c>
      <c r="D28" s="5"/>
      <c r="E28" s="22">
        <v>8.9099999999999997E-4</v>
      </c>
      <c r="F28" s="5">
        <f>C12</f>
        <v>2.5000000000000001E-2</v>
      </c>
      <c r="G28" s="5">
        <v>0</v>
      </c>
      <c r="H28" s="5">
        <f>C14</f>
        <v>0.05</v>
      </c>
      <c r="I28" s="5">
        <v>0</v>
      </c>
      <c r="J28" s="72">
        <v>0.4</v>
      </c>
      <c r="K28" s="26">
        <f>F28+G28*J28+H28*J28^2+I28</f>
        <v>3.3000000000000002E-2</v>
      </c>
      <c r="L28" s="25">
        <f>SQRT(2*Q28*$C$9/(E28*J28))/$S$9</f>
        <v>467.64219483267249</v>
      </c>
      <c r="M28" s="24">
        <f>J28/K28</f>
        <v>12.121212121212121</v>
      </c>
      <c r="N28" s="19">
        <v>0.7</v>
      </c>
      <c r="O28" s="64">
        <f>EXP(-6076.12*C28*(N28/3600)/(1.68781*L28*M28))</f>
        <v>0.92286736411898163</v>
      </c>
      <c r="P28" s="27">
        <f t="shared" ref="P28:P36" si="8">T27</f>
        <v>59809.171150004964</v>
      </c>
      <c r="Q28" s="18">
        <f t="shared" si="4"/>
        <v>0.96534900000000012</v>
      </c>
      <c r="R28" s="27">
        <f t="shared" si="5"/>
        <v>4613.2390206588416</v>
      </c>
      <c r="S28" s="6">
        <v>0</v>
      </c>
      <c r="T28" s="29">
        <f t="shared" si="6"/>
        <v>55195.932129346125</v>
      </c>
      <c r="U28" s="18">
        <f t="shared" si="7"/>
        <v>0.89088908708489489</v>
      </c>
      <c r="V28" s="33"/>
      <c r="W28" s="68">
        <v>0.45</v>
      </c>
      <c r="X28" s="67">
        <f t="shared" si="3"/>
        <v>3.5125000000000003E-2</v>
      </c>
      <c r="Y28" s="67">
        <f t="shared" si="1"/>
        <v>12.811387900355871</v>
      </c>
      <c r="Z28" s="67">
        <f t="shared" si="2"/>
        <v>19.098089487542687</v>
      </c>
      <c r="AA28" s="33"/>
      <c r="AB28" s="33"/>
      <c r="AC28" s="33"/>
    </row>
    <row r="29" spans="1:29" x14ac:dyDescent="0.35">
      <c r="A29" s="1">
        <v>5</v>
      </c>
      <c r="B29" s="5" t="s">
        <v>89</v>
      </c>
      <c r="C29" s="5"/>
      <c r="D29" s="5"/>
      <c r="E29" s="5"/>
      <c r="F29" s="5"/>
      <c r="G29" s="5"/>
      <c r="H29" s="5"/>
      <c r="I29" s="5"/>
      <c r="J29" s="72"/>
      <c r="K29" s="5"/>
      <c r="L29" s="5"/>
      <c r="M29" s="19"/>
      <c r="N29" s="19">
        <v>0.75</v>
      </c>
      <c r="O29" s="5">
        <v>0.99</v>
      </c>
      <c r="P29" s="27">
        <f t="shared" si="8"/>
        <v>55195.932129346125</v>
      </c>
      <c r="Q29" s="18">
        <f t="shared" si="4"/>
        <v>0.89088908708489489</v>
      </c>
      <c r="R29" s="27">
        <f t="shared" si="5"/>
        <v>551.9593212934617</v>
      </c>
      <c r="S29" s="6">
        <v>0</v>
      </c>
      <c r="T29" s="29">
        <f t="shared" si="6"/>
        <v>54643.972808052662</v>
      </c>
      <c r="U29" s="18">
        <f t="shared" si="7"/>
        <v>0.88198019621404589</v>
      </c>
      <c r="V29" s="33"/>
      <c r="W29" s="68">
        <v>0.47499999999999998</v>
      </c>
      <c r="X29" s="67">
        <f t="shared" si="3"/>
        <v>3.6281250000000001E-2</v>
      </c>
      <c r="Y29" s="67">
        <f t="shared" si="1"/>
        <v>13.092161929371231</v>
      </c>
      <c r="Z29" s="67">
        <f t="shared" si="2"/>
        <v>18.996105084706592</v>
      </c>
      <c r="AA29" s="33"/>
      <c r="AB29" s="33"/>
      <c r="AC29" s="33"/>
    </row>
    <row r="30" spans="1:29" x14ac:dyDescent="0.35">
      <c r="A30" s="1">
        <v>6</v>
      </c>
      <c r="B30" s="5" t="s">
        <v>79</v>
      </c>
      <c r="C30" s="5">
        <v>100</v>
      </c>
      <c r="D30" s="24">
        <f>C30/L30*60</f>
        <v>10.08403361344538</v>
      </c>
      <c r="E30" s="5"/>
      <c r="F30" s="5"/>
      <c r="G30" s="5"/>
      <c r="H30" s="5"/>
      <c r="I30" s="5"/>
      <c r="J30" s="72"/>
      <c r="K30" s="19"/>
      <c r="L30" s="25">
        <v>595</v>
      </c>
      <c r="M30" s="19"/>
      <c r="N30" s="19">
        <v>1</v>
      </c>
      <c r="O30" s="64">
        <f>1-(1/Q30)*C10*N30*(D30/60)</f>
        <v>0.8570824824535217</v>
      </c>
      <c r="P30" s="27">
        <f t="shared" si="8"/>
        <v>54643.972808052662</v>
      </c>
      <c r="Q30" s="18">
        <f t="shared" si="4"/>
        <v>0.88198019621404589</v>
      </c>
      <c r="R30" s="27">
        <f t="shared" si="5"/>
        <v>7809.5809426041496</v>
      </c>
      <c r="S30" s="6">
        <v>0</v>
      </c>
      <c r="T30" s="29">
        <f t="shared" si="6"/>
        <v>46834.39186544851</v>
      </c>
      <c r="U30" s="18">
        <f t="shared" si="7"/>
        <v>0.75592977604597855</v>
      </c>
      <c r="V30" s="33"/>
      <c r="W30" s="68">
        <v>0.5</v>
      </c>
      <c r="X30" s="67">
        <f t="shared" si="3"/>
        <v>3.7500000000000006E-2</v>
      </c>
      <c r="Y30" s="67">
        <f t="shared" si="1"/>
        <v>13.333333333333332</v>
      </c>
      <c r="Z30" s="67">
        <f t="shared" si="2"/>
        <v>18.856180831641264</v>
      </c>
      <c r="AA30" s="33"/>
      <c r="AB30" s="33"/>
      <c r="AC30" s="33"/>
    </row>
    <row r="31" spans="1:29" x14ac:dyDescent="0.35">
      <c r="A31" s="1">
        <v>7</v>
      </c>
      <c r="B31" s="5" t="s">
        <v>80</v>
      </c>
      <c r="C31" s="5"/>
      <c r="D31" s="5"/>
      <c r="E31" s="5"/>
      <c r="F31" s="5"/>
      <c r="G31" s="5"/>
      <c r="H31" s="5"/>
      <c r="I31" s="5"/>
      <c r="J31" s="72"/>
      <c r="K31" s="18"/>
      <c r="L31" s="17"/>
      <c r="M31" s="19"/>
      <c r="N31" s="19">
        <v>0</v>
      </c>
      <c r="O31" s="5">
        <v>1</v>
      </c>
      <c r="P31" s="27">
        <f t="shared" si="8"/>
        <v>46834.39186544851</v>
      </c>
      <c r="Q31" s="18">
        <f t="shared" si="4"/>
        <v>0.75592977604597855</v>
      </c>
      <c r="R31" s="27">
        <f t="shared" si="5"/>
        <v>0</v>
      </c>
      <c r="S31" s="6">
        <v>0</v>
      </c>
      <c r="T31" s="29">
        <f t="shared" si="6"/>
        <v>46834.39186544851</v>
      </c>
      <c r="U31" s="18">
        <f t="shared" si="7"/>
        <v>0.75592977604597855</v>
      </c>
      <c r="V31" s="33"/>
      <c r="W31" s="68">
        <v>0.52500000000000002</v>
      </c>
      <c r="X31" s="67">
        <f t="shared" si="3"/>
        <v>3.8781250000000003E-2</v>
      </c>
      <c r="Y31" s="67">
        <f t="shared" si="1"/>
        <v>13.53746978243352</v>
      </c>
      <c r="Z31" s="67">
        <f t="shared" si="2"/>
        <v>18.683483314990411</v>
      </c>
      <c r="AA31" s="33"/>
      <c r="AB31" s="33"/>
      <c r="AC31" s="33"/>
    </row>
    <row r="32" spans="1:29" x14ac:dyDescent="0.35">
      <c r="A32" s="1">
        <v>8</v>
      </c>
      <c r="B32" s="5" t="s">
        <v>128</v>
      </c>
      <c r="C32" s="5"/>
      <c r="D32" s="5"/>
      <c r="E32" s="5"/>
      <c r="F32" s="5"/>
      <c r="G32" s="5"/>
      <c r="H32" s="5"/>
      <c r="I32" s="5"/>
      <c r="J32" s="72"/>
      <c r="K32" s="18"/>
      <c r="L32" s="17"/>
      <c r="M32" s="19"/>
      <c r="N32" s="19">
        <v>0.75</v>
      </c>
      <c r="O32" s="5">
        <v>0.98</v>
      </c>
      <c r="P32" s="27">
        <f t="shared" si="8"/>
        <v>46834.39186544851</v>
      </c>
      <c r="Q32" s="18">
        <f t="shared" si="4"/>
        <v>0.75592977604597855</v>
      </c>
      <c r="R32" s="27">
        <f t="shared" si="5"/>
        <v>936.68783730897098</v>
      </c>
      <c r="S32" s="6">
        <v>0</v>
      </c>
      <c r="T32" s="29">
        <f t="shared" si="6"/>
        <v>45897.704028139538</v>
      </c>
      <c r="U32" s="18">
        <f t="shared" si="7"/>
        <v>0.74081118052505901</v>
      </c>
      <c r="V32" s="33"/>
      <c r="W32" s="68">
        <v>0.55000000000000004</v>
      </c>
      <c r="X32" s="67">
        <f t="shared" si="3"/>
        <v>4.0125000000000008E-2</v>
      </c>
      <c r="Y32" s="67">
        <f t="shared" si="1"/>
        <v>13.707165109034266</v>
      </c>
      <c r="Z32" s="67">
        <f t="shared" si="2"/>
        <v>18.482737662543705</v>
      </c>
      <c r="AA32" s="33"/>
      <c r="AB32" s="33"/>
      <c r="AC32" s="33"/>
    </row>
    <row r="33" spans="1:29" x14ac:dyDescent="0.35">
      <c r="A33" s="1">
        <v>9</v>
      </c>
      <c r="B33" s="5" t="s">
        <v>81</v>
      </c>
      <c r="C33" s="5">
        <v>650</v>
      </c>
      <c r="D33" s="5"/>
      <c r="E33" s="22">
        <v>8.9099999999999997E-4</v>
      </c>
      <c r="F33" s="5">
        <f>C12</f>
        <v>2.5000000000000001E-2</v>
      </c>
      <c r="G33" s="5">
        <v>0</v>
      </c>
      <c r="H33" s="5">
        <f>C14</f>
        <v>0.05</v>
      </c>
      <c r="I33" s="5">
        <v>0</v>
      </c>
      <c r="J33" s="72">
        <v>0.4</v>
      </c>
      <c r="K33" s="26">
        <f>F33+G33*J33+H33*J33^2+I33</f>
        <v>3.3000000000000002E-2</v>
      </c>
      <c r="L33" s="25">
        <f>SQRT(2*Q33*$C$9/(E33*J33))/$S$9</f>
        <v>413.82072849135795</v>
      </c>
      <c r="M33" s="24">
        <f>J33/K33</f>
        <v>12.121212121212121</v>
      </c>
      <c r="N33" s="19">
        <v>0.7</v>
      </c>
      <c r="O33" s="64">
        <f>EXP(-6076.12*C33*(N33/3600)/(1.68781*L33*M33))</f>
        <v>0.91328286335309972</v>
      </c>
      <c r="P33" s="27">
        <f>T31</f>
        <v>46834.39186544851</v>
      </c>
      <c r="Q33" s="18">
        <f t="shared" si="4"/>
        <v>0.75592977604597855</v>
      </c>
      <c r="R33" s="27">
        <f t="shared" si="5"/>
        <v>4061.3443591705736</v>
      </c>
      <c r="S33" s="6">
        <v>0</v>
      </c>
      <c r="T33" s="29">
        <f t="shared" si="6"/>
        <v>42773.047506277937</v>
      </c>
      <c r="U33" s="18">
        <f t="shared" si="7"/>
        <v>0.69037771036113871</v>
      </c>
      <c r="V33" s="33"/>
      <c r="W33" s="68">
        <v>0.57499999999999996</v>
      </c>
      <c r="X33" s="67">
        <f t="shared" si="3"/>
        <v>4.1531249999999999E-2</v>
      </c>
      <c r="Y33" s="67">
        <f t="shared" si="1"/>
        <v>13.844996237772762</v>
      </c>
      <c r="Z33" s="67">
        <f t="shared" si="2"/>
        <v>18.258240346850986</v>
      </c>
      <c r="AA33" s="33"/>
      <c r="AB33" s="33"/>
      <c r="AC33" s="33"/>
    </row>
    <row r="34" spans="1:29" x14ac:dyDescent="0.35">
      <c r="A34" s="1">
        <v>10</v>
      </c>
      <c r="B34" s="5" t="s">
        <v>82</v>
      </c>
      <c r="C34" s="5"/>
      <c r="D34" s="5"/>
      <c r="E34" s="5"/>
      <c r="F34" s="5"/>
      <c r="G34" s="5"/>
      <c r="H34" s="5"/>
      <c r="I34" s="5"/>
      <c r="J34" s="72"/>
      <c r="K34" s="18"/>
      <c r="L34" s="18"/>
      <c r="M34" s="19"/>
      <c r="N34" s="19">
        <v>0.75</v>
      </c>
      <c r="O34" s="5">
        <v>0.99</v>
      </c>
      <c r="P34" s="27">
        <f t="shared" si="8"/>
        <v>42773.047506277937</v>
      </c>
      <c r="Q34" s="18">
        <f t="shared" si="4"/>
        <v>0.69037771036113871</v>
      </c>
      <c r="R34" s="27">
        <f t="shared" si="5"/>
        <v>427.73047506277976</v>
      </c>
      <c r="S34" s="6">
        <v>0</v>
      </c>
      <c r="T34" s="29">
        <f t="shared" si="6"/>
        <v>42345.317031215156</v>
      </c>
      <c r="U34" s="18">
        <f t="shared" si="7"/>
        <v>0.68347393325752737</v>
      </c>
      <c r="V34" s="33"/>
      <c r="W34" s="68">
        <v>0.6</v>
      </c>
      <c r="X34" s="67">
        <f t="shared" si="3"/>
        <v>4.2999999999999997E-2</v>
      </c>
      <c r="Y34" s="67">
        <f t="shared" si="1"/>
        <v>13.953488372093023</v>
      </c>
      <c r="Z34" s="67">
        <f t="shared" si="2"/>
        <v>18.01387602887171</v>
      </c>
      <c r="AA34" s="33"/>
      <c r="AB34" s="33"/>
      <c r="AC34" s="33"/>
    </row>
    <row r="35" spans="1:29" x14ac:dyDescent="0.35">
      <c r="A35" s="1">
        <v>11</v>
      </c>
      <c r="B35" s="5" t="s">
        <v>130</v>
      </c>
      <c r="C35" s="5"/>
      <c r="D35" s="5">
        <v>20</v>
      </c>
      <c r="E35" s="5">
        <v>1.756E-3</v>
      </c>
      <c r="F35" s="5">
        <f>C12</f>
        <v>2.5000000000000001E-2</v>
      </c>
      <c r="G35" s="5">
        <v>0</v>
      </c>
      <c r="H35" s="5">
        <f>C14</f>
        <v>0.05</v>
      </c>
      <c r="I35" s="5">
        <v>0</v>
      </c>
      <c r="J35" s="72">
        <v>0.7</v>
      </c>
      <c r="K35" s="26">
        <f>F35+G35*J35+H35*J35^2+I35</f>
        <v>4.9500000000000002E-2</v>
      </c>
      <c r="L35" s="25">
        <f>SQRT(2*Q35*$C$9/(E35*J35))/$S$9</f>
        <v>211.88004887954315</v>
      </c>
      <c r="M35" s="24">
        <f>J35/K35</f>
        <v>14.14141414141414</v>
      </c>
      <c r="N35" s="19">
        <v>0.7</v>
      </c>
      <c r="O35" s="64">
        <f>EXP(-(D35*60)*(N35/3600)/(M35))</f>
        <v>0.98363537939067236</v>
      </c>
      <c r="P35" s="27">
        <f t="shared" si="8"/>
        <v>42345.317031215156</v>
      </c>
      <c r="Q35" s="18">
        <f t="shared" si="4"/>
        <v>0.68347393325752737</v>
      </c>
      <c r="R35" s="27">
        <f t="shared" si="5"/>
        <v>692.96504779753627</v>
      </c>
      <c r="S35" s="6">
        <v>0</v>
      </c>
      <c r="T35" s="29">
        <f t="shared" si="6"/>
        <v>41652.351983417619</v>
      </c>
      <c r="U35" s="18">
        <f t="shared" si="7"/>
        <v>0.67228914164340292</v>
      </c>
      <c r="V35" s="34"/>
      <c r="W35" s="68">
        <v>0.625</v>
      </c>
      <c r="X35" s="67">
        <f t="shared" si="3"/>
        <v>4.4531250000000001E-2</v>
      </c>
      <c r="Y35" s="67">
        <f t="shared" si="1"/>
        <v>14.035087719298245</v>
      </c>
      <c r="Z35" s="67">
        <f t="shared" si="2"/>
        <v>17.753137741296165</v>
      </c>
      <c r="AA35" s="34"/>
      <c r="AB35" s="34"/>
      <c r="AC35" s="34"/>
    </row>
    <row r="36" spans="1:29" x14ac:dyDescent="0.35">
      <c r="A36" s="66">
        <v>12</v>
      </c>
      <c r="B36" s="5" t="s">
        <v>84</v>
      </c>
      <c r="C36" s="5"/>
      <c r="D36" s="5"/>
      <c r="E36" s="5"/>
      <c r="F36" s="5"/>
      <c r="G36" s="5"/>
      <c r="H36" s="5"/>
      <c r="I36" s="5"/>
      <c r="J36" s="72"/>
      <c r="K36" s="18"/>
      <c r="L36" s="5"/>
      <c r="M36" s="19"/>
      <c r="N36" s="19">
        <v>0.6</v>
      </c>
      <c r="O36" s="5">
        <v>0.995</v>
      </c>
      <c r="P36" s="27">
        <f t="shared" si="8"/>
        <v>41652.351983417619</v>
      </c>
      <c r="Q36" s="18">
        <f t="shared" si="4"/>
        <v>0.67228914164340292</v>
      </c>
      <c r="R36" s="27">
        <f t="shared" si="5"/>
        <v>208.26175991708828</v>
      </c>
      <c r="S36" s="6">
        <v>0</v>
      </c>
      <c r="T36" s="29">
        <f t="shared" si="6"/>
        <v>41444.090223500527</v>
      </c>
      <c r="U36" s="18">
        <f t="shared" si="7"/>
        <v>0.66892769593518586</v>
      </c>
      <c r="W36" s="68">
        <v>0.65</v>
      </c>
      <c r="X36" s="67">
        <f t="shared" si="3"/>
        <v>4.6125000000000006E-2</v>
      </c>
      <c r="Y36" s="67">
        <f t="shared" si="1"/>
        <v>14.092140921409213</v>
      </c>
      <c r="Z36" s="67">
        <f t="shared" si="2"/>
        <v>17.479149589807154</v>
      </c>
    </row>
    <row r="37" spans="1:29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W37" s="68">
        <v>0.67500000000000004</v>
      </c>
      <c r="X37" s="67">
        <f t="shared" si="3"/>
        <v>4.7781250000000004E-2</v>
      </c>
      <c r="Y37" s="67">
        <f t="shared" si="1"/>
        <v>14.126880313930673</v>
      </c>
      <c r="Z37" s="67">
        <f t="shared" si="2"/>
        <v>17.194691144701093</v>
      </c>
    </row>
    <row r="38" spans="1:29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W38" s="68">
        <v>0.7</v>
      </c>
      <c r="X38" s="67">
        <f t="shared" si="3"/>
        <v>4.9500000000000002E-2</v>
      </c>
      <c r="Y38" s="67">
        <f t="shared" si="1"/>
        <v>14.14141414141414</v>
      </c>
      <c r="Z38" s="67">
        <f t="shared" si="2"/>
        <v>16.902222758264152</v>
      </c>
    </row>
    <row r="39" spans="1:29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28"/>
      <c r="S39" s="6"/>
      <c r="T39" s="6"/>
      <c r="U39" s="6"/>
      <c r="W39" s="68">
        <v>0.72499999999999998</v>
      </c>
      <c r="X39" s="67">
        <f t="shared" si="3"/>
        <v>5.128125E-2</v>
      </c>
      <c r="Y39" s="67">
        <f t="shared" si="1"/>
        <v>14.137720901889091</v>
      </c>
      <c r="Z39" s="67">
        <f t="shared" si="2"/>
        <v>16.603911142889846</v>
      </c>
    </row>
    <row r="40" spans="1:29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28"/>
      <c r="S40" s="6"/>
      <c r="T40" s="6"/>
      <c r="U40" s="6"/>
      <c r="W40" s="68">
        <v>0.75</v>
      </c>
      <c r="X40" s="67">
        <f t="shared" si="3"/>
        <v>5.3125000000000006E-2</v>
      </c>
      <c r="Y40" s="67">
        <f t="shared" si="1"/>
        <v>14.117647058823527</v>
      </c>
      <c r="Z40" s="67">
        <f t="shared" si="2"/>
        <v>16.301654659471783</v>
      </c>
    </row>
    <row r="41" spans="1:29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28"/>
      <c r="S41" s="6"/>
      <c r="T41" s="6"/>
      <c r="U41" s="6"/>
      <c r="W41" s="68">
        <v>0.77500000000000002</v>
      </c>
      <c r="X41" s="67">
        <f t="shared" si="3"/>
        <v>5.5031250000000004E-2</v>
      </c>
      <c r="Y41" s="67">
        <f t="shared" si="1"/>
        <v>14.082907438955139</v>
      </c>
      <c r="Z41" s="67">
        <f t="shared" si="2"/>
        <v>15.997107881121188</v>
      </c>
    </row>
    <row r="42" spans="1:29" x14ac:dyDescent="0.35">
      <c r="W42" s="68">
        <v>0.8</v>
      </c>
      <c r="X42" s="67">
        <f t="shared" si="3"/>
        <v>5.7000000000000009E-2</v>
      </c>
      <c r="Y42" s="67">
        <f t="shared" si="1"/>
        <v>14.035087719298245</v>
      </c>
      <c r="Z42" s="67">
        <f t="shared" si="2"/>
        <v>15.691705105261679</v>
      </c>
    </row>
    <row r="43" spans="1:29" x14ac:dyDescent="0.35">
      <c r="Q43" s="80" t="s">
        <v>85</v>
      </c>
      <c r="R43" s="81"/>
      <c r="S43" s="82"/>
      <c r="W43" s="68">
        <v>0.82499999999999996</v>
      </c>
      <c r="X43" s="67">
        <f t="shared" si="3"/>
        <v>5.903125E-2</v>
      </c>
      <c r="Y43" s="67">
        <f t="shared" si="1"/>
        <v>13.975648491265218</v>
      </c>
      <c r="Z43" s="67">
        <f t="shared" si="2"/>
        <v>15.386682583025896</v>
      </c>
    </row>
    <row r="44" spans="1:29" x14ac:dyDescent="0.35">
      <c r="Q44" s="1" t="s">
        <v>86</v>
      </c>
      <c r="R44" s="32">
        <f>SUM(R25:R41)</f>
        <v>21448.606425134669</v>
      </c>
      <c r="S44" s="1" t="s">
        <v>7</v>
      </c>
      <c r="W44" s="68">
        <v>0.85</v>
      </c>
      <c r="X44" s="67">
        <f t="shared" si="3"/>
        <v>6.1124999999999999E-2</v>
      </c>
      <c r="Y44" s="67">
        <f t="shared" si="1"/>
        <v>13.905930470347649</v>
      </c>
      <c r="Z44" s="67">
        <f t="shared" si="2"/>
        <v>15.083099316634581</v>
      </c>
    </row>
    <row r="45" spans="1:29" x14ac:dyDescent="0.35">
      <c r="Q45" s="1" t="s">
        <v>87</v>
      </c>
      <c r="R45" s="32">
        <f>R44*C21</f>
        <v>1286.9163855080801</v>
      </c>
      <c r="S45" s="1" t="s">
        <v>7</v>
      </c>
      <c r="W45" s="68">
        <v>0.875</v>
      </c>
      <c r="X45" s="67">
        <f t="shared" si="3"/>
        <v>6.3281250000000011E-2</v>
      </c>
      <c r="Y45" s="67">
        <f t="shared" si="1"/>
        <v>13.827160493827158</v>
      </c>
      <c r="Z45" s="67">
        <f t="shared" si="2"/>
        <v>14.781856342810629</v>
      </c>
    </row>
    <row r="46" spans="1:29" x14ac:dyDescent="0.35">
      <c r="Q46" s="1" t="s">
        <v>88</v>
      </c>
      <c r="R46" s="32">
        <f>R44+R45</f>
        <v>22735.522810642749</v>
      </c>
      <c r="S46" s="1" t="s">
        <v>7</v>
      </c>
      <c r="W46" s="68">
        <v>0.9</v>
      </c>
      <c r="X46" s="67">
        <f t="shared" si="3"/>
        <v>6.5500000000000003E-2</v>
      </c>
      <c r="Y46" s="67">
        <f t="shared" si="1"/>
        <v>13.740458015267174</v>
      </c>
      <c r="Z46" s="67">
        <f t="shared" si="2"/>
        <v>14.483714474053645</v>
      </c>
    </row>
    <row r="47" spans="1:29" x14ac:dyDescent="0.35">
      <c r="W47" s="68">
        <v>0.92500000000000004</v>
      </c>
      <c r="X47" s="67">
        <f t="shared" si="3"/>
        <v>6.7781250000000015E-2</v>
      </c>
      <c r="Y47" s="67">
        <f t="shared" si="1"/>
        <v>13.646841862609495</v>
      </c>
      <c r="Z47" s="67">
        <f>W47^(1/2)/X47</f>
        <v>14.189310511145296</v>
      </c>
    </row>
    <row r="48" spans="1:29" x14ac:dyDescent="0.35">
      <c r="W48" s="68">
        <v>0.95</v>
      </c>
      <c r="X48" s="67">
        <f t="shared" si="3"/>
        <v>7.0124999999999993E-2</v>
      </c>
      <c r="Y48" s="67">
        <f t="shared" si="1"/>
        <v>13.547237076648843</v>
      </c>
      <c r="Z48" s="67">
        <f t="shared" si="2"/>
        <v>13.89917197120708</v>
      </c>
    </row>
    <row r="49" spans="23:26" x14ac:dyDescent="0.35">
      <c r="W49" s="68">
        <v>0.97499999999999998</v>
      </c>
      <c r="X49" s="67">
        <f t="shared" si="3"/>
        <v>7.2531249999999992E-2</v>
      </c>
      <c r="Y49" s="67">
        <f t="shared" si="1"/>
        <v>13.442481688927188</v>
      </c>
      <c r="Z49" s="67">
        <f t="shared" si="2"/>
        <v>13.613730397677898</v>
      </c>
    </row>
    <row r="50" spans="23:26" x14ac:dyDescent="0.35">
      <c r="W50" s="68">
        <v>1</v>
      </c>
      <c r="X50" s="67">
        <f t="shared" si="3"/>
        <v>7.5000000000000011E-2</v>
      </c>
      <c r="Y50" s="67">
        <f t="shared" si="1"/>
        <v>13.333333333333332</v>
      </c>
      <c r="Z50" s="67">
        <f t="shared" si="2"/>
        <v>13.333333333333332</v>
      </c>
    </row>
  </sheetData>
  <mergeCells count="13">
    <mergeCell ref="Q43:S43"/>
    <mergeCell ref="B8:D8"/>
    <mergeCell ref="B11:D11"/>
    <mergeCell ref="N14:O14"/>
    <mergeCell ref="A20:U20"/>
    <mergeCell ref="E21:M21"/>
    <mergeCell ref="F7:H7"/>
    <mergeCell ref="M1:P1"/>
    <mergeCell ref="B2:D2"/>
    <mergeCell ref="F2:H2"/>
    <mergeCell ref="J2:J3"/>
    <mergeCell ref="B5:D5"/>
    <mergeCell ref="K2:K3"/>
  </mergeCells>
  <conditionalFormatting sqref="Y8:Y50">
    <cfRule type="top10" dxfId="1" priority="2" rank="1"/>
  </conditionalFormatting>
  <conditionalFormatting sqref="Z8:Z50">
    <cfRule type="top10" dxfId="0" priority="1" rank="1"/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9EDBE9-4CA7-476E-956D-9A5D107300DE}">
  <dimension ref="B2:K9"/>
  <sheetViews>
    <sheetView topLeftCell="F3" workbookViewId="0">
      <selection activeCell="G4" sqref="G4:K9"/>
    </sheetView>
  </sheetViews>
  <sheetFormatPr defaultRowHeight="14.5" x14ac:dyDescent="0.35"/>
  <cols>
    <col min="2" max="2" width="28" customWidth="1"/>
  </cols>
  <sheetData>
    <row r="2" spans="2:11" x14ac:dyDescent="0.35">
      <c r="B2" s="78" t="s">
        <v>23</v>
      </c>
      <c r="C2" s="78"/>
      <c r="D2" s="78"/>
    </row>
    <row r="3" spans="2:11" x14ac:dyDescent="0.35">
      <c r="B3" s="2" t="s">
        <v>27</v>
      </c>
      <c r="C3" s="7">
        <v>105</v>
      </c>
      <c r="D3" s="2" t="s">
        <v>28</v>
      </c>
    </row>
    <row r="4" spans="2:11" x14ac:dyDescent="0.35">
      <c r="B4" s="2" t="s">
        <v>38</v>
      </c>
      <c r="C4" s="23">
        <v>0.87</v>
      </c>
      <c r="D4" s="2"/>
      <c r="G4" s="91"/>
      <c r="H4" s="91" t="s">
        <v>135</v>
      </c>
      <c r="I4" s="91" t="s">
        <v>136</v>
      </c>
      <c r="J4" s="91" t="s">
        <v>137</v>
      </c>
      <c r="K4" s="91" t="s">
        <v>138</v>
      </c>
    </row>
    <row r="5" spans="2:11" x14ac:dyDescent="0.35">
      <c r="G5" s="89" t="s">
        <v>16</v>
      </c>
      <c r="H5" s="91">
        <v>34540</v>
      </c>
      <c r="I5" s="91">
        <v>34540</v>
      </c>
      <c r="J5" s="91">
        <v>34540</v>
      </c>
      <c r="K5" s="92">
        <v>34540.486000575322</v>
      </c>
    </row>
    <row r="6" spans="2:11" x14ac:dyDescent="0.35">
      <c r="G6" s="89" t="s">
        <v>22</v>
      </c>
      <c r="H6" s="90">
        <v>20786.855883069398</v>
      </c>
      <c r="I6" s="90">
        <v>12427.017466116344</v>
      </c>
      <c r="J6" s="90">
        <v>22158.881121256316</v>
      </c>
      <c r="K6" s="90">
        <v>22735.522810642749</v>
      </c>
    </row>
    <row r="7" spans="2:11" x14ac:dyDescent="0.35">
      <c r="G7" s="89" t="s">
        <v>19</v>
      </c>
      <c r="H7" s="90">
        <v>2390</v>
      </c>
      <c r="I7" s="91">
        <v>2390</v>
      </c>
      <c r="J7" s="91">
        <v>4380</v>
      </c>
      <c r="K7" s="91">
        <v>4380</v>
      </c>
    </row>
    <row r="8" spans="2:11" x14ac:dyDescent="0.35">
      <c r="G8" s="89" t="s">
        <v>20</v>
      </c>
      <c r="H8" s="90">
        <v>300</v>
      </c>
      <c r="I8" s="91">
        <v>300</v>
      </c>
      <c r="J8" s="91">
        <v>300</v>
      </c>
      <c r="K8" s="91">
        <v>300</v>
      </c>
    </row>
    <row r="9" spans="2:11" x14ac:dyDescent="0.35">
      <c r="G9" s="89" t="s">
        <v>13</v>
      </c>
      <c r="H9" s="90">
        <v>58016.855883069395</v>
      </c>
      <c r="I9" s="92">
        <v>49657.017466116347</v>
      </c>
      <c r="J9" s="92">
        <v>61378.881121256316</v>
      </c>
      <c r="K9" s="92">
        <v>61956.008811218067</v>
      </c>
    </row>
  </sheetData>
  <mergeCells count="1">
    <mergeCell ref="B2:D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C9AD6-A67C-4172-8E7D-F2C714714D8A}">
  <sheetPr codeName="Sheet5"/>
  <dimension ref="A1:J42"/>
  <sheetViews>
    <sheetView workbookViewId="0">
      <selection activeCell="D8" sqref="D8"/>
    </sheetView>
  </sheetViews>
  <sheetFormatPr defaultRowHeight="14.5" x14ac:dyDescent="0.35"/>
  <cols>
    <col min="1" max="1" width="30" bestFit="1" customWidth="1"/>
    <col min="2" max="2" width="6" bestFit="1" customWidth="1"/>
    <col min="3" max="3" width="4.1796875" bestFit="1" customWidth="1"/>
    <col min="6" max="6" width="24.81640625" bestFit="1" customWidth="1"/>
    <col min="7" max="8" width="8.54296875" bestFit="1" customWidth="1"/>
    <col min="9" max="9" width="9.1796875" bestFit="1" customWidth="1"/>
    <col min="10" max="10" width="7.81640625" bestFit="1" customWidth="1"/>
  </cols>
  <sheetData>
    <row r="1" spans="1:10" x14ac:dyDescent="0.35">
      <c r="A1" s="87" t="s">
        <v>90</v>
      </c>
      <c r="B1" s="87"/>
      <c r="C1" s="87"/>
      <c r="F1" s="63" t="s">
        <v>0</v>
      </c>
      <c r="G1" s="63"/>
      <c r="H1" s="63"/>
      <c r="I1" s="63"/>
      <c r="J1" s="16"/>
    </row>
    <row r="2" spans="1:10" x14ac:dyDescent="0.35">
      <c r="A2" s="87"/>
      <c r="B2" s="87"/>
      <c r="C2" s="87"/>
      <c r="F2" s="43"/>
      <c r="G2" s="43" t="s">
        <v>6</v>
      </c>
      <c r="H2" s="43" t="s">
        <v>7</v>
      </c>
      <c r="I2" s="43" t="s">
        <v>91</v>
      </c>
      <c r="J2" s="16"/>
    </row>
    <row r="3" spans="1:10" x14ac:dyDescent="0.35">
      <c r="A3" s="87"/>
      <c r="B3" s="87"/>
      <c r="C3" s="87"/>
      <c r="F3" s="43" t="s">
        <v>13</v>
      </c>
      <c r="G3" s="44">
        <f>H3*0.4536</f>
        <v>31103.351999999999</v>
      </c>
      <c r="H3" s="44">
        <v>68570</v>
      </c>
      <c r="I3" s="43"/>
      <c r="J3" s="16"/>
    </row>
    <row r="4" spans="1:10" x14ac:dyDescent="0.35">
      <c r="A4" s="87"/>
      <c r="B4" s="87"/>
      <c r="C4" s="87"/>
      <c r="F4" s="43" t="s">
        <v>16</v>
      </c>
      <c r="G4" s="44">
        <f>H4*0.4536</f>
        <v>16820.395199999999</v>
      </c>
      <c r="H4" s="44">
        <v>37082</v>
      </c>
      <c r="I4" s="45">
        <f>H4/H3</f>
        <v>0.54079043313402364</v>
      </c>
      <c r="J4" s="16"/>
    </row>
    <row r="5" spans="1:10" x14ac:dyDescent="0.35">
      <c r="A5" s="87"/>
      <c r="B5" s="87"/>
      <c r="C5" s="87"/>
      <c r="F5" s="43" t="s">
        <v>22</v>
      </c>
      <c r="G5" s="44">
        <f>H5*0.4536</f>
        <v>8612.9567999999999</v>
      </c>
      <c r="H5" s="44">
        <v>18988</v>
      </c>
      <c r="I5" s="45">
        <f>H5/H3</f>
        <v>0.27691410237713288</v>
      </c>
      <c r="J5" s="16"/>
    </row>
    <row r="6" spans="1:10" x14ac:dyDescent="0.35">
      <c r="F6" s="46" t="s">
        <v>92</v>
      </c>
      <c r="G6" s="47">
        <f>H6*0.4536</f>
        <v>5670</v>
      </c>
      <c r="H6" s="47">
        <v>12500</v>
      </c>
      <c r="I6" s="48">
        <f>H6/H3</f>
        <v>0.18229546448884351</v>
      </c>
      <c r="J6" s="16"/>
    </row>
    <row r="7" spans="1:10" x14ac:dyDescent="0.35">
      <c r="A7" s="78" t="s">
        <v>17</v>
      </c>
      <c r="B7" s="78"/>
      <c r="C7" s="78"/>
      <c r="F7" s="9"/>
      <c r="G7" s="49"/>
      <c r="H7" s="49"/>
      <c r="I7" s="50"/>
      <c r="J7" s="16"/>
    </row>
    <row r="8" spans="1:10" x14ac:dyDescent="0.35">
      <c r="A8" s="2" t="s">
        <v>19</v>
      </c>
      <c r="B8" s="7">
        <v>12000</v>
      </c>
      <c r="C8" s="2" t="s">
        <v>7</v>
      </c>
      <c r="F8" s="63" t="s">
        <v>93</v>
      </c>
      <c r="G8" s="63"/>
      <c r="H8" s="63"/>
      <c r="I8" s="63"/>
      <c r="J8" s="63"/>
    </row>
    <row r="9" spans="1:10" x14ac:dyDescent="0.35">
      <c r="A9" s="2" t="s">
        <v>20</v>
      </c>
      <c r="B9" s="7">
        <v>500</v>
      </c>
      <c r="C9" s="2" t="s">
        <v>7</v>
      </c>
      <c r="F9" s="43" t="s">
        <v>94</v>
      </c>
      <c r="G9" s="52">
        <f>I9</f>
        <v>0.67</v>
      </c>
      <c r="H9" s="43" t="s">
        <v>95</v>
      </c>
      <c r="I9" s="52">
        <f>B12</f>
        <v>0.67</v>
      </c>
      <c r="J9" s="43" t="s">
        <v>96</v>
      </c>
    </row>
    <row r="10" spans="1:10" x14ac:dyDescent="0.35">
      <c r="A10" s="78" t="s">
        <v>23</v>
      </c>
      <c r="B10" s="78"/>
      <c r="C10" s="78"/>
      <c r="F10" s="46" t="s">
        <v>47</v>
      </c>
      <c r="G10" s="47">
        <f>I10*0.746</f>
        <v>34272.657400000004</v>
      </c>
      <c r="H10" s="46" t="s">
        <v>6</v>
      </c>
      <c r="I10" s="47">
        <f>H3*I9</f>
        <v>45941.9</v>
      </c>
      <c r="J10" s="46" t="s">
        <v>7</v>
      </c>
    </row>
    <row r="11" spans="1:10" x14ac:dyDescent="0.35">
      <c r="A11" s="2" t="s">
        <v>27</v>
      </c>
      <c r="B11" s="7">
        <v>130</v>
      </c>
      <c r="C11" s="2" t="s">
        <v>28</v>
      </c>
      <c r="F11" s="9"/>
      <c r="G11" s="9"/>
      <c r="H11" s="9"/>
      <c r="I11" s="9"/>
      <c r="J11" s="9"/>
    </row>
    <row r="12" spans="1:10" x14ac:dyDescent="0.35">
      <c r="A12" s="2" t="s">
        <v>38</v>
      </c>
      <c r="B12" s="23">
        <v>0.67</v>
      </c>
      <c r="C12" s="2"/>
      <c r="F12" s="63" t="s">
        <v>97</v>
      </c>
      <c r="G12" s="63"/>
      <c r="H12" s="63"/>
      <c r="I12" s="63"/>
      <c r="J12" s="63"/>
    </row>
    <row r="13" spans="1:10" x14ac:dyDescent="0.35">
      <c r="F13" s="43" t="s">
        <v>98</v>
      </c>
      <c r="G13" s="52">
        <f>I13*4.88</f>
        <v>634.4</v>
      </c>
      <c r="H13" s="43" t="s">
        <v>99</v>
      </c>
      <c r="I13" s="51">
        <f>B11</f>
        <v>130</v>
      </c>
      <c r="J13" s="43" t="s">
        <v>100</v>
      </c>
    </row>
    <row r="14" spans="1:10" x14ac:dyDescent="0.35">
      <c r="A14" s="59" t="s">
        <v>101</v>
      </c>
      <c r="B14" s="59"/>
      <c r="C14" s="16"/>
      <c r="F14" s="43" t="s">
        <v>40</v>
      </c>
      <c r="G14" s="53">
        <f>I14/3.28^2</f>
        <v>49.027879467350026</v>
      </c>
      <c r="H14" s="43" t="s">
        <v>31</v>
      </c>
      <c r="I14" s="53">
        <f>H3/I13</f>
        <v>527.46153846153845</v>
      </c>
      <c r="J14" s="43" t="s">
        <v>32</v>
      </c>
    </row>
    <row r="15" spans="1:10" x14ac:dyDescent="0.35">
      <c r="A15" s="35" t="s">
        <v>102</v>
      </c>
      <c r="B15" s="36">
        <v>0.93</v>
      </c>
      <c r="C15" s="16"/>
      <c r="F15" s="43" t="s">
        <v>103</v>
      </c>
      <c r="G15" s="54">
        <f>I15/3.28</f>
        <v>13.099525874462978</v>
      </c>
      <c r="H15" s="43" t="s">
        <v>104</v>
      </c>
      <c r="I15" s="54">
        <f>SQRT(G18*I14)</f>
        <v>42.966444868238568</v>
      </c>
      <c r="J15" s="43" t="s">
        <v>105</v>
      </c>
    </row>
    <row r="16" spans="1:10" x14ac:dyDescent="0.35">
      <c r="A16" s="37" t="s">
        <v>106</v>
      </c>
      <c r="B16" s="38">
        <v>0.39</v>
      </c>
      <c r="C16" s="16"/>
      <c r="F16" s="43" t="s">
        <v>107</v>
      </c>
      <c r="G16" s="54">
        <f>I16/3.28</f>
        <v>4.6784020980224925</v>
      </c>
      <c r="H16" s="43" t="s">
        <v>104</v>
      </c>
      <c r="I16" s="54">
        <f>2*I14/(I15*(1+G19))</f>
        <v>15.345158881513774</v>
      </c>
      <c r="J16" s="43" t="s">
        <v>105</v>
      </c>
    </row>
    <row r="17" spans="1:10" x14ac:dyDescent="0.35">
      <c r="A17" s="16"/>
      <c r="B17" s="16"/>
      <c r="C17" s="16"/>
      <c r="F17" s="43" t="s">
        <v>108</v>
      </c>
      <c r="G17" s="54">
        <f>G19*G16</f>
        <v>2.8070412588134954</v>
      </c>
      <c r="H17" s="43" t="s">
        <v>104</v>
      </c>
      <c r="I17" s="54">
        <f>G19*I16</f>
        <v>9.2070953289082631</v>
      </c>
      <c r="J17" s="43" t="s">
        <v>105</v>
      </c>
    </row>
    <row r="18" spans="1:10" x14ac:dyDescent="0.35">
      <c r="A18" s="60" t="s">
        <v>109</v>
      </c>
      <c r="B18" s="61"/>
      <c r="C18" s="62"/>
      <c r="F18" s="43" t="s">
        <v>110</v>
      </c>
      <c r="G18" s="51">
        <f>B19</f>
        <v>3.5</v>
      </c>
      <c r="H18" s="55"/>
      <c r="I18" s="55"/>
      <c r="J18" s="55"/>
    </row>
    <row r="19" spans="1:10" x14ac:dyDescent="0.35">
      <c r="A19" s="39" t="s">
        <v>111</v>
      </c>
      <c r="B19" s="40">
        <v>3.5</v>
      </c>
      <c r="C19" s="39"/>
      <c r="F19" s="46" t="s">
        <v>112</v>
      </c>
      <c r="G19" s="56">
        <f>B20</f>
        <v>0.6</v>
      </c>
      <c r="H19" s="57"/>
      <c r="I19" s="57"/>
      <c r="J19" s="57"/>
    </row>
    <row r="20" spans="1:10" x14ac:dyDescent="0.35">
      <c r="A20" s="37" t="s">
        <v>113</v>
      </c>
      <c r="B20" s="42">
        <v>0.6</v>
      </c>
      <c r="C20" s="37"/>
      <c r="F20" s="16"/>
      <c r="G20" s="16"/>
      <c r="H20" s="16"/>
      <c r="I20" s="16"/>
      <c r="J20" s="16"/>
    </row>
    <row r="21" spans="1:10" x14ac:dyDescent="0.35">
      <c r="A21" s="39" t="s">
        <v>114</v>
      </c>
      <c r="B21" s="40">
        <v>4</v>
      </c>
      <c r="C21" s="39"/>
      <c r="F21" s="63" t="s">
        <v>115</v>
      </c>
      <c r="G21" s="63"/>
      <c r="H21" s="63"/>
      <c r="I21" s="63"/>
      <c r="J21" s="63"/>
    </row>
    <row r="22" spans="1:10" x14ac:dyDescent="0.35">
      <c r="A22" s="35" t="s">
        <v>116</v>
      </c>
      <c r="B22" s="41">
        <v>0.3</v>
      </c>
      <c r="C22" s="35"/>
      <c r="F22" s="46" t="s">
        <v>117</v>
      </c>
      <c r="G22" s="58">
        <f>I22/3.28</f>
        <v>21.812298037144433</v>
      </c>
      <c r="H22" s="46" t="s">
        <v>104</v>
      </c>
      <c r="I22" s="58">
        <f>B15*H3^B16</f>
        <v>71.544337561833743</v>
      </c>
      <c r="J22" s="46" t="s">
        <v>105</v>
      </c>
    </row>
    <row r="23" spans="1:10" x14ac:dyDescent="0.35">
      <c r="A23" s="35" t="s">
        <v>118</v>
      </c>
      <c r="B23" s="41">
        <v>0.4</v>
      </c>
      <c r="C23" s="35"/>
      <c r="F23" s="9"/>
      <c r="G23" s="9"/>
      <c r="H23" s="9"/>
      <c r="I23" s="9"/>
      <c r="J23" s="9"/>
    </row>
    <row r="24" spans="1:10" x14ac:dyDescent="0.35">
      <c r="A24" s="37" t="s">
        <v>119</v>
      </c>
      <c r="B24" s="42">
        <v>0.5</v>
      </c>
      <c r="C24" s="37"/>
      <c r="F24" s="63" t="s">
        <v>120</v>
      </c>
      <c r="G24" s="63"/>
      <c r="H24" s="63"/>
      <c r="I24" s="63"/>
      <c r="J24" s="63"/>
    </row>
    <row r="25" spans="1:10" x14ac:dyDescent="0.35">
      <c r="A25" s="39" t="s">
        <v>121</v>
      </c>
      <c r="B25" s="40">
        <v>1.2</v>
      </c>
      <c r="C25" s="39"/>
      <c r="F25" s="43" t="s">
        <v>122</v>
      </c>
      <c r="G25" s="51">
        <f>B23</f>
        <v>0.4</v>
      </c>
      <c r="H25" s="43"/>
      <c r="I25" s="43"/>
      <c r="J25" s="43"/>
    </row>
    <row r="26" spans="1:10" x14ac:dyDescent="0.35">
      <c r="A26" s="35" t="s">
        <v>123</v>
      </c>
      <c r="B26" s="41">
        <v>0.3</v>
      </c>
      <c r="C26" s="35"/>
      <c r="F26" s="43" t="s">
        <v>124</v>
      </c>
      <c r="G26" s="54">
        <f>I26/3.28</f>
        <v>10.906149018572217</v>
      </c>
      <c r="H26" s="43" t="s">
        <v>104</v>
      </c>
      <c r="I26" s="54">
        <f>B24*I22</f>
        <v>35.772168780916871</v>
      </c>
      <c r="J26" s="43" t="s">
        <v>105</v>
      </c>
    </row>
    <row r="27" spans="1:10" x14ac:dyDescent="0.35">
      <c r="A27" s="35" t="s">
        <v>125</v>
      </c>
      <c r="B27" s="41">
        <v>7.0000000000000007E-2</v>
      </c>
      <c r="C27" s="35"/>
      <c r="F27" s="43" t="s">
        <v>40</v>
      </c>
      <c r="G27" s="53">
        <f>I27/3.28^2</f>
        <v>5.0475481405077502</v>
      </c>
      <c r="H27" s="43" t="s">
        <v>31</v>
      </c>
      <c r="I27" s="53">
        <f>G19*I16*G25*I14/I26</f>
        <v>54.303541914838569</v>
      </c>
      <c r="J27" s="43" t="s">
        <v>32</v>
      </c>
    </row>
    <row r="28" spans="1:10" x14ac:dyDescent="0.35">
      <c r="A28" s="37" t="s">
        <v>126</v>
      </c>
      <c r="B28" s="42">
        <v>0.5</v>
      </c>
      <c r="C28" s="37"/>
      <c r="F28" s="43" t="s">
        <v>103</v>
      </c>
      <c r="G28" s="54">
        <f>I28/3.28</f>
        <v>4.4933498152303919</v>
      </c>
      <c r="H28" s="43" t="s">
        <v>104</v>
      </c>
      <c r="I28" s="54">
        <f>SQRT(G31*I27)</f>
        <v>14.738187393955686</v>
      </c>
      <c r="J28" s="43" t="s">
        <v>105</v>
      </c>
    </row>
    <row r="29" spans="1:10" x14ac:dyDescent="0.35">
      <c r="F29" s="43" t="s">
        <v>107</v>
      </c>
      <c r="G29" s="54">
        <f>I29/3.28</f>
        <v>1.7282114673963045</v>
      </c>
      <c r="H29" s="43" t="s">
        <v>104</v>
      </c>
      <c r="I29" s="54">
        <f>2*I27/(I28*(1+G32))</f>
        <v>5.6685336130598785</v>
      </c>
      <c r="J29" s="43" t="s">
        <v>105</v>
      </c>
    </row>
    <row r="30" spans="1:10" x14ac:dyDescent="0.35">
      <c r="F30" s="43" t="s">
        <v>108</v>
      </c>
      <c r="G30" s="54">
        <f>G32*G29</f>
        <v>0.51846344021889135</v>
      </c>
      <c r="H30" s="43" t="s">
        <v>104</v>
      </c>
      <c r="I30" s="54">
        <f>G32*I29</f>
        <v>1.7005600839179635</v>
      </c>
      <c r="J30" s="43" t="s">
        <v>105</v>
      </c>
    </row>
    <row r="31" spans="1:10" x14ac:dyDescent="0.35">
      <c r="F31" s="43" t="s">
        <v>110</v>
      </c>
      <c r="G31" s="51">
        <f>B21</f>
        <v>4</v>
      </c>
      <c r="H31" s="55"/>
      <c r="I31" s="55"/>
      <c r="J31" s="55"/>
    </row>
    <row r="32" spans="1:10" x14ac:dyDescent="0.35">
      <c r="F32" s="46" t="s">
        <v>112</v>
      </c>
      <c r="G32" s="56">
        <f>B22</f>
        <v>0.3</v>
      </c>
      <c r="H32" s="57"/>
      <c r="I32" s="57"/>
      <c r="J32" s="57"/>
    </row>
    <row r="33" spans="6:10" x14ac:dyDescent="0.35">
      <c r="F33" s="9"/>
      <c r="G33" s="9"/>
      <c r="H33" s="9"/>
      <c r="I33" s="9"/>
      <c r="J33" s="9"/>
    </row>
    <row r="34" spans="6:10" x14ac:dyDescent="0.35">
      <c r="F34" s="63" t="s">
        <v>127</v>
      </c>
      <c r="G34" s="63"/>
      <c r="H34" s="63"/>
      <c r="I34" s="63"/>
      <c r="J34" s="63"/>
    </row>
    <row r="35" spans="6:10" x14ac:dyDescent="0.35">
      <c r="F35" s="43" t="s">
        <v>122</v>
      </c>
      <c r="G35" s="51">
        <f>B27</f>
        <v>7.0000000000000007E-2</v>
      </c>
      <c r="H35" s="43"/>
      <c r="I35" s="43"/>
      <c r="J35" s="43"/>
    </row>
    <row r="36" spans="6:10" x14ac:dyDescent="0.35">
      <c r="F36" s="43" t="s">
        <v>124</v>
      </c>
      <c r="G36" s="54">
        <f>I36/3.28</f>
        <v>10.906149018572217</v>
      </c>
      <c r="H36" s="43" t="s">
        <v>104</v>
      </c>
      <c r="I36" s="54">
        <f>B28*I22</f>
        <v>35.772168780916871</v>
      </c>
      <c r="J36" s="43" t="s">
        <v>105</v>
      </c>
    </row>
    <row r="37" spans="6:10" x14ac:dyDescent="0.35">
      <c r="F37" s="43" t="s">
        <v>40</v>
      </c>
      <c r="G37" s="53">
        <f>I37/3.28^2</f>
        <v>4.1221643147479963</v>
      </c>
      <c r="H37" s="43" t="s">
        <v>31</v>
      </c>
      <c r="I37" s="53">
        <f>G35*I14*I15/I36</f>
        <v>44.347892563784839</v>
      </c>
      <c r="J37" s="43" t="s">
        <v>32</v>
      </c>
    </row>
    <row r="38" spans="6:10" x14ac:dyDescent="0.35">
      <c r="F38" s="43" t="s">
        <v>103</v>
      </c>
      <c r="G38" s="54">
        <f>I38/3.28</f>
        <v>2.2240946872149117</v>
      </c>
      <c r="H38" s="43" t="s">
        <v>104</v>
      </c>
      <c r="I38" s="54">
        <f>SQRT(G41*I37)</f>
        <v>7.29503057406491</v>
      </c>
      <c r="J38" s="43" t="s">
        <v>105</v>
      </c>
    </row>
    <row r="39" spans="6:10" x14ac:dyDescent="0.35">
      <c r="F39" s="43" t="s">
        <v>107</v>
      </c>
      <c r="G39" s="54">
        <f>I39/3.28</f>
        <v>2.8514034451473225</v>
      </c>
      <c r="H39" s="43" t="s">
        <v>104</v>
      </c>
      <c r="I39" s="54">
        <f>2*I37/(I38*(1+G42))</f>
        <v>9.3526033000832172</v>
      </c>
      <c r="J39" s="43" t="s">
        <v>105</v>
      </c>
    </row>
    <row r="40" spans="6:10" x14ac:dyDescent="0.35">
      <c r="F40" s="43" t="s">
        <v>108</v>
      </c>
      <c r="G40" s="54">
        <f>G42*G39</f>
        <v>0.85542103354419674</v>
      </c>
      <c r="H40" s="43" t="s">
        <v>104</v>
      </c>
      <c r="I40" s="54">
        <f>G42*I39</f>
        <v>2.8057809900249651</v>
      </c>
      <c r="J40" s="43" t="s">
        <v>105</v>
      </c>
    </row>
    <row r="41" spans="6:10" x14ac:dyDescent="0.35">
      <c r="F41" s="43" t="s">
        <v>110</v>
      </c>
      <c r="G41" s="51">
        <f>B25</f>
        <v>1.2</v>
      </c>
      <c r="H41" s="55"/>
      <c r="I41" s="55"/>
      <c r="J41" s="55"/>
    </row>
    <row r="42" spans="6:10" x14ac:dyDescent="0.35">
      <c r="F42" s="46" t="s">
        <v>112</v>
      </c>
      <c r="G42" s="56">
        <f>B26</f>
        <v>0.3</v>
      </c>
      <c r="H42" s="57"/>
      <c r="I42" s="57"/>
      <c r="J42" s="57"/>
    </row>
  </sheetData>
  <mergeCells count="3">
    <mergeCell ref="A7:C7"/>
    <mergeCell ref="A10:C10"/>
    <mergeCell ref="A1:C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A2A, combat &amp; drop</vt:lpstr>
      <vt:lpstr>A2A, no combat nor drop</vt:lpstr>
      <vt:lpstr>Strike, drop</vt:lpstr>
      <vt:lpstr>Strike, no drop</vt:lpstr>
      <vt:lpstr>Commons</vt:lpstr>
      <vt:lpstr>Geometry Calcs (uncompleted)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Imon Chakraborty</dc:creator>
  <cp:keywords/>
  <dc:description/>
  <cp:lastModifiedBy>Owen Reynolds</cp:lastModifiedBy>
  <cp:revision/>
  <dcterms:created xsi:type="dcterms:W3CDTF">2015-06-05T18:17:20Z</dcterms:created>
  <dcterms:modified xsi:type="dcterms:W3CDTF">2026-03-31T02:09:18Z</dcterms:modified>
  <cp:category/>
  <cp:contentStatus/>
</cp:coreProperties>
</file>