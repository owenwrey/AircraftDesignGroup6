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reav\OneDrive\Documents\GitHub\AircraftDesignGroup6\First Pass Gross Weight Convergence\"/>
    </mc:Choice>
  </mc:AlternateContent>
  <xr:revisionPtr revIDLastSave="0" documentId="13_ncr:1_{0E37FE11-BAAD-4906-BB17-F08A0BF2F274}" xr6:coauthVersionLast="47" xr6:coauthVersionMax="47" xr10:uidLastSave="{00000000-0000-0000-0000-000000000000}"/>
  <bookViews>
    <workbookView xWindow="-108" yWindow="-108" windowWidth="23256" windowHeight="13896" activeTab="3" xr2:uid="{00000000-000D-0000-FFFF-FFFF00000000}"/>
  </bookViews>
  <sheets>
    <sheet name="A2A, combat &amp; drop" sheetId="5" r:id="rId1"/>
    <sheet name="A2A, no combat nor drop" sheetId="9" r:id="rId2"/>
    <sheet name="Strike, drop" sheetId="8" r:id="rId3"/>
    <sheet name="Strike, no drop" sheetId="12" r:id="rId4"/>
    <sheet name="Commons" sheetId="13" r:id="rId5"/>
    <sheet name="Geometry Calcs (uncompleted)" sheetId="4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3" i="8" l="1"/>
  <c r="L28" i="8"/>
  <c r="F28" i="12"/>
  <c r="F35" i="12"/>
  <c r="F33" i="12"/>
  <c r="H35" i="12"/>
  <c r="H33" i="12"/>
  <c r="H28" i="12"/>
  <c r="X11" i="12"/>
  <c r="Z12" i="12"/>
  <c r="X10" i="12"/>
  <c r="Z10" i="12" s="1"/>
  <c r="X45" i="12"/>
  <c r="Z45" i="12" s="1"/>
  <c r="X46" i="12"/>
  <c r="Z46" i="12" s="1"/>
  <c r="X47" i="12"/>
  <c r="Y47" i="12" s="1"/>
  <c r="X48" i="12"/>
  <c r="Y48" i="12" s="1"/>
  <c r="X49" i="12"/>
  <c r="Z49" i="12" s="1"/>
  <c r="X50" i="12"/>
  <c r="Y50" i="12" s="1"/>
  <c r="X44" i="5"/>
  <c r="Z44" i="5" s="1"/>
  <c r="X43" i="5"/>
  <c r="Z43" i="5" s="1"/>
  <c r="X42" i="5"/>
  <c r="Z42" i="5" s="1"/>
  <c r="X41" i="5"/>
  <c r="Y41" i="5" s="1"/>
  <c r="X40" i="5"/>
  <c r="Z40" i="5" s="1"/>
  <c r="X39" i="5"/>
  <c r="Y39" i="5" s="1"/>
  <c r="X38" i="5"/>
  <c r="Y38" i="5" s="1"/>
  <c r="X37" i="5"/>
  <c r="Z37" i="5" s="1"/>
  <c r="X36" i="5"/>
  <c r="Z36" i="5" s="1"/>
  <c r="X35" i="5"/>
  <c r="Z35" i="5" s="1"/>
  <c r="X34" i="5"/>
  <c r="Y34" i="5" s="1"/>
  <c r="X33" i="5"/>
  <c r="Z33" i="5" s="1"/>
  <c r="X32" i="5"/>
  <c r="Z32" i="5" s="1"/>
  <c r="X31" i="5"/>
  <c r="Z31" i="5" s="1"/>
  <c r="X30" i="5"/>
  <c r="Z30" i="5" s="1"/>
  <c r="X29" i="5"/>
  <c r="Y29" i="5" s="1"/>
  <c r="X28" i="5"/>
  <c r="Z28" i="5" s="1"/>
  <c r="X27" i="5"/>
  <c r="Z27" i="5" s="1"/>
  <c r="X26" i="5"/>
  <c r="Z26" i="5" s="1"/>
  <c r="X25" i="5"/>
  <c r="Y25" i="5" s="1"/>
  <c r="X24" i="5"/>
  <c r="Z24" i="5" s="1"/>
  <c r="X23" i="5"/>
  <c r="Y23" i="5" s="1"/>
  <c r="X22" i="5"/>
  <c r="Y22" i="5" s="1"/>
  <c r="X21" i="5"/>
  <c r="Z21" i="5" s="1"/>
  <c r="X20" i="5"/>
  <c r="Z20" i="5" s="1"/>
  <c r="X19" i="5"/>
  <c r="Z19" i="5" s="1"/>
  <c r="X18" i="5"/>
  <c r="Y18" i="5" s="1"/>
  <c r="X17" i="5"/>
  <c r="Z17" i="5" s="1"/>
  <c r="X16" i="5"/>
  <c r="Z16" i="5" s="1"/>
  <c r="X15" i="5"/>
  <c r="Z15" i="5" s="1"/>
  <c r="X14" i="5"/>
  <c r="Z14" i="5" s="1"/>
  <c r="X13" i="5"/>
  <c r="Z13" i="5" s="1"/>
  <c r="X12" i="5"/>
  <c r="Z12" i="5" s="1"/>
  <c r="X11" i="5"/>
  <c r="Z11" i="5" s="1"/>
  <c r="X10" i="5"/>
  <c r="Z10" i="5" s="1"/>
  <c r="X44" i="9"/>
  <c r="Z44" i="9" s="1"/>
  <c r="X43" i="9"/>
  <c r="Z43" i="9" s="1"/>
  <c r="X42" i="9"/>
  <c r="Y42" i="9" s="1"/>
  <c r="X41" i="9"/>
  <c r="Z41" i="9" s="1"/>
  <c r="X40" i="9"/>
  <c r="Z40" i="9" s="1"/>
  <c r="X39" i="9"/>
  <c r="Y39" i="9" s="1"/>
  <c r="X38" i="9"/>
  <c r="Y38" i="9" s="1"/>
  <c r="X37" i="9"/>
  <c r="Y37" i="9" s="1"/>
  <c r="X36" i="9"/>
  <c r="Y36" i="9" s="1"/>
  <c r="X35" i="9"/>
  <c r="Y35" i="9" s="1"/>
  <c r="X34" i="9"/>
  <c r="Z34" i="9" s="1"/>
  <c r="X33" i="9"/>
  <c r="Z33" i="9" s="1"/>
  <c r="X32" i="9"/>
  <c r="Z32" i="9" s="1"/>
  <c r="X31" i="9"/>
  <c r="Y31" i="9" s="1"/>
  <c r="X30" i="9"/>
  <c r="Z30" i="9" s="1"/>
  <c r="X29" i="9"/>
  <c r="Y29" i="9" s="1"/>
  <c r="X28" i="9"/>
  <c r="Z28" i="9" s="1"/>
  <c r="X27" i="9"/>
  <c r="Z27" i="9" s="1"/>
  <c r="X26" i="9"/>
  <c r="Z26" i="9" s="1"/>
  <c r="X25" i="9"/>
  <c r="Z25" i="9" s="1"/>
  <c r="X24" i="9"/>
  <c r="Z24" i="9" s="1"/>
  <c r="X23" i="9"/>
  <c r="Y23" i="9" s="1"/>
  <c r="X22" i="9"/>
  <c r="Z22" i="9" s="1"/>
  <c r="X21" i="9"/>
  <c r="Z21" i="9" s="1"/>
  <c r="X20" i="9"/>
  <c r="Y20" i="9" s="1"/>
  <c r="X19" i="9"/>
  <c r="Y19" i="9" s="1"/>
  <c r="X18" i="9"/>
  <c r="Y18" i="9" s="1"/>
  <c r="X17" i="9"/>
  <c r="Z17" i="9" s="1"/>
  <c r="X16" i="9"/>
  <c r="Z16" i="9" s="1"/>
  <c r="X15" i="9"/>
  <c r="Y15" i="9" s="1"/>
  <c r="X14" i="9"/>
  <c r="Z14" i="9" s="1"/>
  <c r="X13" i="9"/>
  <c r="Y13" i="9" s="1"/>
  <c r="X12" i="9"/>
  <c r="Z12" i="9" s="1"/>
  <c r="X11" i="9"/>
  <c r="Y11" i="9" s="1"/>
  <c r="X10" i="9"/>
  <c r="Z10" i="9" s="1"/>
  <c r="X44" i="12"/>
  <c r="Z44" i="12" s="1"/>
  <c r="X43" i="12"/>
  <c r="Y43" i="12" s="1"/>
  <c r="X42" i="12"/>
  <c r="Z42" i="12" s="1"/>
  <c r="X41" i="12"/>
  <c r="Y41" i="12" s="1"/>
  <c r="X40" i="12"/>
  <c r="Y40" i="12" s="1"/>
  <c r="X39" i="12"/>
  <c r="Z39" i="12" s="1"/>
  <c r="X38" i="12"/>
  <c r="Z38" i="12" s="1"/>
  <c r="X37" i="12"/>
  <c r="Z37" i="12" s="1"/>
  <c r="X36" i="12"/>
  <c r="Z36" i="12" s="1"/>
  <c r="X35" i="12"/>
  <c r="Z35" i="12" s="1"/>
  <c r="X34" i="12"/>
  <c r="Y34" i="12" s="1"/>
  <c r="X33" i="12"/>
  <c r="Y33" i="12" s="1"/>
  <c r="X32" i="12"/>
  <c r="Z32" i="12" s="1"/>
  <c r="X31" i="12"/>
  <c r="Z31" i="12" s="1"/>
  <c r="X30" i="12"/>
  <c r="Z30" i="12" s="1"/>
  <c r="X29" i="12"/>
  <c r="Z29" i="12" s="1"/>
  <c r="X28" i="12"/>
  <c r="Z28" i="12" s="1"/>
  <c r="X27" i="12"/>
  <c r="Z27" i="12" s="1"/>
  <c r="X26" i="12"/>
  <c r="Z26" i="12" s="1"/>
  <c r="X25" i="12"/>
  <c r="Y25" i="12" s="1"/>
  <c r="X24" i="12"/>
  <c r="Y24" i="12" s="1"/>
  <c r="X23" i="12"/>
  <c r="Z23" i="12" s="1"/>
  <c r="X22" i="12"/>
  <c r="Z22" i="12" s="1"/>
  <c r="X21" i="12"/>
  <c r="Y21" i="12" s="1"/>
  <c r="X20" i="12"/>
  <c r="Z20" i="12" s="1"/>
  <c r="X19" i="12"/>
  <c r="Y19" i="12" s="1"/>
  <c r="X18" i="12"/>
  <c r="Y18" i="12" s="1"/>
  <c r="X17" i="12"/>
  <c r="Z17" i="12" s="1"/>
  <c r="X16" i="12"/>
  <c r="Z16" i="12" s="1"/>
  <c r="X15" i="12"/>
  <c r="Z15" i="12" s="1"/>
  <c r="X14" i="12"/>
  <c r="Z14" i="12" s="1"/>
  <c r="X13" i="12"/>
  <c r="Z13" i="12" s="1"/>
  <c r="X12" i="12"/>
  <c r="Z11" i="12"/>
  <c r="Y23" i="8"/>
  <c r="X11" i="8"/>
  <c r="Z11" i="8" s="1"/>
  <c r="X12" i="8"/>
  <c r="Z12" i="8" s="1"/>
  <c r="X13" i="8"/>
  <c r="Z13" i="8" s="1"/>
  <c r="X14" i="8"/>
  <c r="Z14" i="8" s="1"/>
  <c r="X15" i="8"/>
  <c r="Z15" i="8" s="1"/>
  <c r="X16" i="8"/>
  <c r="Y16" i="8" s="1"/>
  <c r="X17" i="8"/>
  <c r="Y17" i="8" s="1"/>
  <c r="X18" i="8"/>
  <c r="Y18" i="8" s="1"/>
  <c r="X19" i="8"/>
  <c r="Z19" i="8" s="1"/>
  <c r="X20" i="8"/>
  <c r="Z20" i="8" s="1"/>
  <c r="X21" i="8"/>
  <c r="Z21" i="8" s="1"/>
  <c r="X22" i="8"/>
  <c r="Z22" i="8" s="1"/>
  <c r="X23" i="8"/>
  <c r="Z23" i="8" s="1"/>
  <c r="X24" i="8"/>
  <c r="Z24" i="8" s="1"/>
  <c r="X25" i="8"/>
  <c r="Z25" i="8" s="1"/>
  <c r="X26" i="8"/>
  <c r="Y26" i="8" s="1"/>
  <c r="X27" i="8"/>
  <c r="Y27" i="8" s="1"/>
  <c r="X28" i="8"/>
  <c r="Z28" i="8" s="1"/>
  <c r="X29" i="8"/>
  <c r="Z29" i="8" s="1"/>
  <c r="X30" i="8"/>
  <c r="Z30" i="8" s="1"/>
  <c r="X31" i="8"/>
  <c r="Z31" i="8" s="1"/>
  <c r="X32" i="8"/>
  <c r="Z32" i="8" s="1"/>
  <c r="X33" i="8"/>
  <c r="Y33" i="8" s="1"/>
  <c r="X34" i="8"/>
  <c r="Y34" i="8" s="1"/>
  <c r="X35" i="8"/>
  <c r="Z35" i="8" s="1"/>
  <c r="X36" i="8"/>
  <c r="Z36" i="8" s="1"/>
  <c r="X37" i="8"/>
  <c r="Y37" i="8" s="1"/>
  <c r="X38" i="8"/>
  <c r="Y38" i="8" s="1"/>
  <c r="X39" i="8"/>
  <c r="Y39" i="8" s="1"/>
  <c r="X40" i="8"/>
  <c r="Y40" i="8" s="1"/>
  <c r="X41" i="8"/>
  <c r="Y41" i="8" s="1"/>
  <c r="X42" i="8"/>
  <c r="Y42" i="8" s="1"/>
  <c r="X43" i="8"/>
  <c r="Y43" i="8" s="1"/>
  <c r="X44" i="8"/>
  <c r="Z44" i="8" s="1"/>
  <c r="X10" i="8"/>
  <c r="Y10" i="8" s="1"/>
  <c r="K28" i="12" l="1"/>
  <c r="M28" i="12" s="1"/>
  <c r="Z47" i="12"/>
  <c r="Y49" i="12"/>
  <c r="Y46" i="12"/>
  <c r="Y44" i="12"/>
  <c r="Z43" i="12"/>
  <c r="Z50" i="12"/>
  <c r="Z48" i="12"/>
  <c r="Y45" i="12"/>
  <c r="Z42" i="8"/>
  <c r="Z43" i="8"/>
  <c r="Z41" i="8"/>
  <c r="Z10" i="8"/>
  <c r="Y15" i="8"/>
  <c r="Y14" i="8"/>
  <c r="Z39" i="8"/>
  <c r="Z40" i="8"/>
  <c r="Z38" i="5"/>
  <c r="Z39" i="5"/>
  <c r="Z41" i="5"/>
  <c r="Y28" i="12"/>
  <c r="Z33" i="12"/>
  <c r="Y39" i="12"/>
  <c r="Y31" i="12"/>
  <c r="Y16" i="12"/>
  <c r="Y20" i="12"/>
  <c r="Z15" i="9"/>
  <c r="Y41" i="9"/>
  <c r="Z31" i="9"/>
  <c r="Z20" i="9"/>
  <c r="Y25" i="8"/>
  <c r="Y24" i="8"/>
  <c r="Y30" i="8"/>
  <c r="Z27" i="8"/>
  <c r="Z26" i="8"/>
  <c r="Z18" i="8"/>
  <c r="Y12" i="12"/>
  <c r="Y17" i="12"/>
  <c r="Z21" i="12"/>
  <c r="Y27" i="12"/>
  <c r="Y36" i="12"/>
  <c r="Z25" i="12"/>
  <c r="Y15" i="12"/>
  <c r="Y23" i="12"/>
  <c r="Y32" i="12"/>
  <c r="Z41" i="12"/>
  <c r="Y34" i="9"/>
  <c r="Z18" i="9"/>
  <c r="Y30" i="9"/>
  <c r="Y14" i="9"/>
  <c r="Z35" i="9"/>
  <c r="Z39" i="9"/>
  <c r="Y25" i="9"/>
  <c r="Z19" i="9"/>
  <c r="Z36" i="9"/>
  <c r="Z18" i="5"/>
  <c r="Y20" i="5"/>
  <c r="Y33" i="5"/>
  <c r="Z34" i="5"/>
  <c r="Z23" i="5"/>
  <c r="Y36" i="5"/>
  <c r="Z25" i="5"/>
  <c r="Z22" i="5"/>
  <c r="Y17" i="5"/>
  <c r="Y21" i="8"/>
  <c r="Z38" i="8"/>
  <c r="Y32" i="8"/>
  <c r="Y31" i="8"/>
  <c r="Y29" i="8"/>
  <c r="Y13" i="8"/>
  <c r="Y22" i="8"/>
  <c r="Z34" i="8"/>
  <c r="Z17" i="8"/>
  <c r="Y44" i="8"/>
  <c r="Y28" i="8"/>
  <c r="Y12" i="8"/>
  <c r="Y20" i="8"/>
  <c r="Z37" i="8"/>
  <c r="Z16" i="8"/>
  <c r="Y19" i="8"/>
  <c r="Z33" i="8"/>
  <c r="Y36" i="8"/>
  <c r="Y35" i="8"/>
  <c r="Y11" i="8"/>
  <c r="Z29" i="5"/>
  <c r="Y40" i="5"/>
  <c r="Y35" i="5"/>
  <c r="Y24" i="5"/>
  <c r="Y19" i="5"/>
  <c r="Y14" i="5"/>
  <c r="Y30" i="5"/>
  <c r="Y13" i="5"/>
  <c r="Y15" i="5"/>
  <c r="Y31" i="5"/>
  <c r="Y10" i="5"/>
  <c r="Y26" i="5"/>
  <c r="Y42" i="5"/>
  <c r="Y21" i="5"/>
  <c r="Y37" i="5"/>
  <c r="Y16" i="5"/>
  <c r="Y32" i="5"/>
  <c r="Y11" i="5"/>
  <c r="Y27" i="5"/>
  <c r="Y43" i="5"/>
  <c r="Y12" i="5"/>
  <c r="Y28" i="5"/>
  <c r="Y44" i="5"/>
  <c r="Y16" i="9"/>
  <c r="Z11" i="9"/>
  <c r="Z38" i="9"/>
  <c r="Z13" i="9"/>
  <c r="Y24" i="9"/>
  <c r="Z29" i="9"/>
  <c r="Y40" i="9"/>
  <c r="Z37" i="9"/>
  <c r="Y43" i="9"/>
  <c r="Y22" i="9"/>
  <c r="Y32" i="9"/>
  <c r="Y33" i="9"/>
  <c r="Z23" i="9"/>
  <c r="Y21" i="9"/>
  <c r="Y26" i="9"/>
  <c r="Z42" i="9"/>
  <c r="Y27" i="9"/>
  <c r="Y17" i="9"/>
  <c r="Y12" i="9"/>
  <c r="Y44" i="9"/>
  <c r="Y10" i="9"/>
  <c r="Y28" i="9"/>
  <c r="Y35" i="12"/>
  <c r="Z40" i="12"/>
  <c r="Y13" i="12"/>
  <c r="Y29" i="12"/>
  <c r="Z24" i="12"/>
  <c r="Y14" i="12"/>
  <c r="Z19" i="12"/>
  <c r="Y30" i="12"/>
  <c r="Z34" i="12"/>
  <c r="Z18" i="12"/>
  <c r="Y10" i="12"/>
  <c r="Y26" i="12"/>
  <c r="Y42" i="12"/>
  <c r="Y37" i="12"/>
  <c r="Y11" i="12"/>
  <c r="Y22" i="12"/>
  <c r="Y38" i="12"/>
  <c r="D30" i="12" l="1"/>
  <c r="P25" i="12"/>
  <c r="P14" i="12"/>
  <c r="O6" i="12"/>
  <c r="N6" i="12"/>
  <c r="O5" i="12"/>
  <c r="N5" i="12"/>
  <c r="J4" i="12"/>
  <c r="O4" i="12" s="1"/>
  <c r="D30" i="8"/>
  <c r="N4" i="12" l="1"/>
  <c r="R25" i="12"/>
  <c r="G8" i="12"/>
  <c r="Q25" i="12"/>
  <c r="T25" i="12" l="1"/>
  <c r="P26" i="12" l="1"/>
  <c r="U25" i="12"/>
  <c r="R26" i="12" l="1"/>
  <c r="Q26" i="12"/>
  <c r="T26" i="12" l="1"/>
  <c r="P27" i="12" l="1"/>
  <c r="U26" i="12"/>
  <c r="R27" i="12" l="1"/>
  <c r="T27" i="12" s="1"/>
  <c r="Q27" i="12"/>
  <c r="P28" i="12" l="1"/>
  <c r="U27" i="12"/>
  <c r="Q28" i="12" l="1"/>
  <c r="L28" i="12" s="1"/>
  <c r="O28" i="12" l="1"/>
  <c r="R28" i="12" s="1"/>
  <c r="T28" i="12" s="1"/>
  <c r="P29" i="12" l="1"/>
  <c r="R29" i="12" s="1"/>
  <c r="T29" i="12" s="1"/>
  <c r="U28" i="12"/>
  <c r="Q29" i="12" l="1"/>
  <c r="U29" i="12"/>
  <c r="P30" i="12"/>
  <c r="Q30" i="12" l="1"/>
  <c r="O30" i="12" s="1"/>
  <c r="R30" i="12" s="1"/>
  <c r="T30" i="12" s="1"/>
  <c r="U30" i="12" l="1"/>
  <c r="P31" i="12"/>
  <c r="Q31" i="12" l="1"/>
  <c r="R31" i="12"/>
  <c r="T31" i="12" s="1"/>
  <c r="P32" i="12" l="1"/>
  <c r="P33" i="12"/>
  <c r="U31" i="12"/>
  <c r="Q33" i="12" l="1"/>
  <c r="L33" i="12" s="1"/>
  <c r="Q32" i="12"/>
  <c r="R32" i="12"/>
  <c r="T32" i="12" s="1"/>
  <c r="U32" i="12" s="1"/>
  <c r="K33" i="12" l="1"/>
  <c r="M33" i="12" s="1"/>
  <c r="O33" i="12" s="1"/>
  <c r="R33" i="12" s="1"/>
  <c r="T33" i="12" s="1"/>
  <c r="P34" i="12" l="1"/>
  <c r="U33" i="12"/>
  <c r="R34" i="12" l="1"/>
  <c r="T34" i="12" s="1"/>
  <c r="Q34" i="12"/>
  <c r="P35" i="12" l="1"/>
  <c r="U34" i="12"/>
  <c r="Q35" i="12" l="1"/>
  <c r="L35" i="12" s="1"/>
  <c r="K35" i="12" l="1"/>
  <c r="M35" i="12" s="1"/>
  <c r="O35" i="12" s="1"/>
  <c r="R35" i="12" s="1"/>
  <c r="T35" i="12" s="1"/>
  <c r="P36" i="12" l="1"/>
  <c r="U35" i="12"/>
  <c r="R36" i="12" l="1"/>
  <c r="R44" i="12" s="1"/>
  <c r="Q36" i="12"/>
  <c r="R45" i="12" l="1"/>
  <c r="R46" i="12" s="1"/>
  <c r="G4" i="12" s="1"/>
  <c r="T36" i="12"/>
  <c r="U36" i="12" s="1"/>
  <c r="O7" i="12" l="1"/>
  <c r="N21" i="12"/>
  <c r="G9" i="12"/>
  <c r="G10" i="12" s="1"/>
  <c r="G5" i="12"/>
  <c r="N7" i="12" l="1"/>
  <c r="O3" i="12"/>
  <c r="P7" i="12" s="1"/>
  <c r="N3" i="12" l="1"/>
  <c r="O10" i="12"/>
  <c r="N10" i="12" s="1"/>
  <c r="O13" i="12"/>
  <c r="N13" i="12" s="1"/>
  <c r="P6" i="12"/>
  <c r="P5" i="12"/>
  <c r="P4" i="12"/>
  <c r="J4" i="5" l="1"/>
  <c r="J4" i="9"/>
  <c r="J4" i="8"/>
  <c r="P25" i="9"/>
  <c r="R25" i="9" s="1"/>
  <c r="P14" i="9"/>
  <c r="O6" i="9"/>
  <c r="N6" i="9"/>
  <c r="O5" i="9"/>
  <c r="P25" i="8"/>
  <c r="Q25" i="8" s="1"/>
  <c r="P14" i="8"/>
  <c r="O6" i="8"/>
  <c r="N6" i="8"/>
  <c r="O5" i="8"/>
  <c r="N5" i="8" s="1"/>
  <c r="R25" i="8" l="1"/>
  <c r="T25" i="8" s="1"/>
  <c r="G8" i="9"/>
  <c r="N4" i="9"/>
  <c r="N5" i="9"/>
  <c r="Q25" i="9"/>
  <c r="T25" i="9"/>
  <c r="N4" i="8"/>
  <c r="G8" i="8"/>
  <c r="P25" i="5"/>
  <c r="R25" i="5" s="1"/>
  <c r="P14" i="5"/>
  <c r="O6" i="5"/>
  <c r="N6" i="5" s="1"/>
  <c r="O5" i="5"/>
  <c r="N5" i="5" s="1"/>
  <c r="I6" i="4"/>
  <c r="I5" i="4"/>
  <c r="I4" i="4"/>
  <c r="G42" i="4"/>
  <c r="G41" i="4"/>
  <c r="G35" i="4"/>
  <c r="G32" i="4"/>
  <c r="G31" i="4"/>
  <c r="I22" i="4"/>
  <c r="I36" i="4" s="1"/>
  <c r="G25" i="4"/>
  <c r="G19" i="4"/>
  <c r="G18" i="4"/>
  <c r="I9" i="4"/>
  <c r="G9" i="4" s="1"/>
  <c r="I13" i="4"/>
  <c r="G13" i="4" s="1"/>
  <c r="G6" i="4"/>
  <c r="U25" i="9" l="1"/>
  <c r="P26" i="9"/>
  <c r="P26" i="8"/>
  <c r="U25" i="8"/>
  <c r="G8" i="5"/>
  <c r="N4" i="5"/>
  <c r="T25" i="5"/>
  <c r="P26" i="5" s="1"/>
  <c r="Q26" i="5" s="1"/>
  <c r="Q25" i="5"/>
  <c r="I26" i="4"/>
  <c r="I14" i="4"/>
  <c r="G26" i="4"/>
  <c r="I10" i="4"/>
  <c r="G10" i="4" s="1"/>
  <c r="G22" i="4"/>
  <c r="G5" i="4"/>
  <c r="G3" i="4"/>
  <c r="G4" i="4"/>
  <c r="Q26" i="9" l="1"/>
  <c r="R26" i="9"/>
  <c r="R26" i="8"/>
  <c r="Q26" i="8"/>
  <c r="R26" i="5"/>
  <c r="T26" i="5" s="1"/>
  <c r="U25" i="5"/>
  <c r="G14" i="4"/>
  <c r="I15" i="4"/>
  <c r="I37" i="4" s="1"/>
  <c r="I38" i="4" s="1"/>
  <c r="G36" i="4"/>
  <c r="T26" i="9" l="1"/>
  <c r="T26" i="8"/>
  <c r="P27" i="5"/>
  <c r="Q27" i="5" s="1"/>
  <c r="U26" i="5"/>
  <c r="I16" i="4"/>
  <c r="G15" i="4"/>
  <c r="G37" i="4"/>
  <c r="U26" i="9" l="1"/>
  <c r="P27" i="9"/>
  <c r="U26" i="8"/>
  <c r="P27" i="8"/>
  <c r="R27" i="5"/>
  <c r="T27" i="5" s="1"/>
  <c r="I17" i="4"/>
  <c r="I27" i="4"/>
  <c r="I28" i="4" s="1"/>
  <c r="G16" i="4"/>
  <c r="G17" i="4" s="1"/>
  <c r="G38" i="4"/>
  <c r="I39" i="4"/>
  <c r="R27" i="9" l="1"/>
  <c r="T27" i="9" s="1"/>
  <c r="Q27" i="9"/>
  <c r="R27" i="8"/>
  <c r="Q27" i="8"/>
  <c r="U27" i="5"/>
  <c r="P28" i="5"/>
  <c r="Q28" i="5" s="1"/>
  <c r="L28" i="5" s="1"/>
  <c r="G39" i="4"/>
  <c r="G40" i="4" s="1"/>
  <c r="I40" i="4"/>
  <c r="U27" i="9" l="1"/>
  <c r="P28" i="9"/>
  <c r="T27" i="8"/>
  <c r="G27" i="4"/>
  <c r="Q28" i="9" l="1"/>
  <c r="L28" i="9" s="1"/>
  <c r="P28" i="8"/>
  <c r="U27" i="8"/>
  <c r="K28" i="5"/>
  <c r="M28" i="5" s="1"/>
  <c r="O28" i="5" s="1"/>
  <c r="R28" i="5" s="1"/>
  <c r="I29" i="4"/>
  <c r="G28" i="4"/>
  <c r="K28" i="9" l="1"/>
  <c r="M28" i="9" s="1"/>
  <c r="O28" i="9" s="1"/>
  <c r="R28" i="9" s="1"/>
  <c r="T28" i="9" s="1"/>
  <c r="Q28" i="8"/>
  <c r="T28" i="5"/>
  <c r="I30" i="4"/>
  <c r="G29" i="4"/>
  <c r="G30" i="4" s="1"/>
  <c r="U28" i="9" l="1"/>
  <c r="P29" i="9"/>
  <c r="K28" i="8"/>
  <c r="M28" i="8" s="1"/>
  <c r="O28" i="8" s="1"/>
  <c r="R28" i="8" s="1"/>
  <c r="T28" i="8" s="1"/>
  <c r="U28" i="5"/>
  <c r="P29" i="5"/>
  <c r="Q29" i="9" l="1"/>
  <c r="L29" i="9" s="1"/>
  <c r="U28" i="8"/>
  <c r="P29" i="8"/>
  <c r="Q29" i="5"/>
  <c r="L29" i="5" s="1"/>
  <c r="K29" i="9" l="1"/>
  <c r="M29" i="9" s="1"/>
  <c r="Q29" i="8"/>
  <c r="K29" i="5"/>
  <c r="M29" i="5" s="1"/>
  <c r="O29" i="5" s="1"/>
  <c r="R29" i="5" s="1"/>
  <c r="O29" i="9" l="1"/>
  <c r="R29" i="9" s="1"/>
  <c r="T29" i="9" s="1"/>
  <c r="R29" i="8"/>
  <c r="T29" i="8" s="1"/>
  <c r="T29" i="5"/>
  <c r="P30" i="9" l="1"/>
  <c r="Q30" i="9" s="1"/>
  <c r="U29" i="9"/>
  <c r="U29" i="8"/>
  <c r="P30" i="8"/>
  <c r="U29" i="5"/>
  <c r="P30" i="5"/>
  <c r="O30" i="9" l="1"/>
  <c r="R30" i="9" s="1"/>
  <c r="T30" i="9" s="1"/>
  <c r="Q30" i="8"/>
  <c r="O30" i="8" s="1"/>
  <c r="Q30" i="5"/>
  <c r="O30" i="5" s="1"/>
  <c r="U30" i="9" l="1"/>
  <c r="P31" i="9"/>
  <c r="R31" i="9" s="1"/>
  <c r="T31" i="9" s="1"/>
  <c r="R30" i="8"/>
  <c r="T30" i="8" s="1"/>
  <c r="R30" i="5"/>
  <c r="T30" i="5" s="1"/>
  <c r="Q31" i="9" l="1"/>
  <c r="U30" i="8"/>
  <c r="P31" i="8"/>
  <c r="R31" i="8" s="1"/>
  <c r="T31" i="8" s="1"/>
  <c r="P32" i="8" s="1"/>
  <c r="P32" i="9"/>
  <c r="U31" i="9"/>
  <c r="P31" i="5"/>
  <c r="Q31" i="5" s="1"/>
  <c r="U30" i="5"/>
  <c r="R32" i="8" l="1"/>
  <c r="T32" i="8" s="1"/>
  <c r="U32" i="8" s="1"/>
  <c r="Q32" i="8"/>
  <c r="Q31" i="8"/>
  <c r="Q32" i="9"/>
  <c r="L32" i="9" s="1"/>
  <c r="U31" i="8"/>
  <c r="P33" i="8"/>
  <c r="R31" i="5"/>
  <c r="T31" i="5" s="1"/>
  <c r="P32" i="5" s="1"/>
  <c r="K32" i="9" l="1"/>
  <c r="M32" i="9" s="1"/>
  <c r="O32" i="9" s="1"/>
  <c r="R32" i="9" s="1"/>
  <c r="T32" i="9" s="1"/>
  <c r="Q33" i="8"/>
  <c r="U31" i="5"/>
  <c r="Q32" i="5"/>
  <c r="L32" i="5" s="1"/>
  <c r="U32" i="9" l="1"/>
  <c r="P33" i="9"/>
  <c r="K33" i="8"/>
  <c r="M33" i="8" s="1"/>
  <c r="O33" i="8" s="1"/>
  <c r="R33" i="8" s="1"/>
  <c r="T33" i="8" s="1"/>
  <c r="K32" i="5"/>
  <c r="M32" i="5" s="1"/>
  <c r="O32" i="5" s="1"/>
  <c r="R32" i="5" s="1"/>
  <c r="T32" i="5" s="1"/>
  <c r="Q33" i="9" l="1"/>
  <c r="R33" i="9"/>
  <c r="T33" i="9" s="1"/>
  <c r="P34" i="8"/>
  <c r="U33" i="8"/>
  <c r="P33" i="5"/>
  <c r="U32" i="5"/>
  <c r="P34" i="9" l="1"/>
  <c r="U33" i="9"/>
  <c r="R34" i="8"/>
  <c r="T34" i="8" s="1"/>
  <c r="Q34" i="8"/>
  <c r="Q33" i="5"/>
  <c r="R33" i="5"/>
  <c r="T33" i="5" s="1"/>
  <c r="Q34" i="9" l="1"/>
  <c r="L34" i="9" s="1"/>
  <c r="U34" i="8"/>
  <c r="P35" i="8"/>
  <c r="U33" i="5"/>
  <c r="P34" i="5"/>
  <c r="K34" i="9" l="1"/>
  <c r="M34" i="9" s="1"/>
  <c r="O34" i="9" s="1"/>
  <c r="R34" i="9" s="1"/>
  <c r="T34" i="9" s="1"/>
  <c r="Q35" i="8"/>
  <c r="L35" i="8" s="1"/>
  <c r="Q34" i="5"/>
  <c r="L34" i="5" s="1"/>
  <c r="U34" i="9" l="1"/>
  <c r="P35" i="9"/>
  <c r="K35" i="8"/>
  <c r="M35" i="8" s="1"/>
  <c r="O35" i="8" s="1"/>
  <c r="R35" i="8" s="1"/>
  <c r="T35" i="8" s="1"/>
  <c r="K34" i="5"/>
  <c r="M34" i="5" s="1"/>
  <c r="O34" i="5" s="1"/>
  <c r="R34" i="5" s="1"/>
  <c r="T34" i="5" s="1"/>
  <c r="Q35" i="9" l="1"/>
  <c r="R35" i="9"/>
  <c r="R43" i="9" s="1"/>
  <c r="P36" i="8"/>
  <c r="U35" i="8"/>
  <c r="P35" i="5"/>
  <c r="U34" i="5"/>
  <c r="T35" i="9" l="1"/>
  <c r="U35" i="9" s="1"/>
  <c r="R44" i="9"/>
  <c r="R45" i="9" s="1"/>
  <c r="G4" i="9" s="1"/>
  <c r="R36" i="8"/>
  <c r="R44" i="8" s="1"/>
  <c r="Q36" i="8"/>
  <c r="R35" i="5"/>
  <c r="R43" i="5" s="1"/>
  <c r="Q35" i="5"/>
  <c r="T36" i="8" l="1"/>
  <c r="U36" i="8" s="1"/>
  <c r="O7" i="9"/>
  <c r="N21" i="9"/>
  <c r="G9" i="9"/>
  <c r="G10" i="9" s="1"/>
  <c r="G5" i="9"/>
  <c r="R45" i="8"/>
  <c r="R46" i="8" s="1"/>
  <c r="R44" i="5"/>
  <c r="R45" i="5" s="1"/>
  <c r="T35" i="5"/>
  <c r="U35" i="5" s="1"/>
  <c r="N7" i="9" l="1"/>
  <c r="O3" i="9"/>
  <c r="G9" i="8"/>
  <c r="G10" i="8" s="1"/>
  <c r="O7" i="8"/>
  <c r="N21" i="8"/>
  <c r="G4" i="8"/>
  <c r="G5" i="8" s="1"/>
  <c r="O7" i="5"/>
  <c r="N21" i="5"/>
  <c r="G9" i="5"/>
  <c r="G10" i="5" s="1"/>
  <c r="G4" i="5"/>
  <c r="G5" i="5" s="1"/>
  <c r="P6" i="9" l="1"/>
  <c r="N3" i="9"/>
  <c r="O13" i="9"/>
  <c r="N13" i="9" s="1"/>
  <c r="O10" i="9"/>
  <c r="N10" i="9" s="1"/>
  <c r="P4" i="9"/>
  <c r="P5" i="9"/>
  <c r="P7" i="9"/>
  <c r="N7" i="8"/>
  <c r="O3" i="8"/>
  <c r="N7" i="5"/>
  <c r="O3" i="5"/>
  <c r="P6" i="8" l="1"/>
  <c r="N3" i="8"/>
  <c r="P5" i="8"/>
  <c r="O13" i="8"/>
  <c r="N13" i="8" s="1"/>
  <c r="O10" i="8"/>
  <c r="N10" i="8" s="1"/>
  <c r="P4" i="8"/>
  <c r="P7" i="8"/>
  <c r="N3" i="5"/>
  <c r="O10" i="5"/>
  <c r="N10" i="5" s="1"/>
  <c r="O13" i="5"/>
  <c r="N13" i="5" s="1"/>
  <c r="P4" i="5"/>
  <c r="P6" i="5"/>
  <c r="P5" i="5"/>
  <c r="P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tc={72043088-4EEA-4B76-A115-1F14FEBB1066}</author>
  </authors>
  <commentList>
    <comment ref="O30" authorId="0" shapeId="0" xr:uid="{72043088-4EEA-4B76-A115-1F14FEBB1066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tc={C211AC56-F2F0-43A2-BD14-9F16A0B70DFF}</author>
  </authors>
  <commentList>
    <comment ref="O30" authorId="0" shapeId="0" xr:uid="{C211AC56-F2F0-43A2-BD14-9F16A0B70DFF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tc={82EED540-B20D-478B-9D24-94725FE72743}</author>
  </authors>
  <commentList>
    <comment ref="O30" authorId="0" shapeId="0" xr:uid="{82EED540-B20D-478B-9D24-94725FE72743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tc={56C62712-80DB-43D5-AD5F-E3228C8A5BFB}</author>
  </authors>
  <commentList>
    <comment ref="O30" authorId="0" shapeId="0" xr:uid="{56C62712-80DB-43D5-AD5F-E3228C8A5BFB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sharedStrings.xml><?xml version="1.0" encoding="utf-8"?>
<sst xmlns="http://schemas.openxmlformats.org/spreadsheetml/2006/main" count="573" uniqueCount="133">
  <si>
    <t>Sizing Results</t>
  </si>
  <si>
    <t>Altitude</t>
  </si>
  <si>
    <t>Air Density</t>
  </si>
  <si>
    <t>Empty Weight Fraction Constants</t>
  </si>
  <si>
    <t>Gross Weight Convergence</t>
  </si>
  <si>
    <t>Empty W Frac</t>
  </si>
  <si>
    <t>kg</t>
  </si>
  <si>
    <t>lb</t>
  </si>
  <si>
    <t>%MTOW</t>
  </si>
  <si>
    <t>(ft)</t>
  </si>
  <si>
    <t>(slug/ft3)</t>
  </si>
  <si>
    <t>A</t>
  </si>
  <si>
    <t>Guess</t>
  </si>
  <si>
    <t>MTOW</t>
  </si>
  <si>
    <t>C</t>
  </si>
  <si>
    <t>Calc</t>
  </si>
  <si>
    <t>OEW</t>
  </si>
  <si>
    <t>Payload and Crew Weights</t>
  </si>
  <si>
    <t>Delta</t>
  </si>
  <si>
    <t>Payload</t>
  </si>
  <si>
    <t>Crew</t>
  </si>
  <si>
    <t>Fuel Convergence</t>
  </si>
  <si>
    <t>Fuel</t>
  </si>
  <si>
    <t>Design Point</t>
  </si>
  <si>
    <t>Available</t>
  </si>
  <si>
    <t>VBE</t>
  </si>
  <si>
    <t>VBR</t>
  </si>
  <si>
    <t>Takeoff wing loading</t>
  </si>
  <si>
    <t>psf</t>
  </si>
  <si>
    <t>Required</t>
  </si>
  <si>
    <t>Wing</t>
  </si>
  <si>
    <t>m2</t>
  </si>
  <si>
    <t>ft2</t>
  </si>
  <si>
    <t>knots to fps</t>
  </si>
  <si>
    <t>CL</t>
  </si>
  <si>
    <t>CD</t>
  </si>
  <si>
    <t>CL/CD</t>
  </si>
  <si>
    <t>CL12/CD</t>
  </si>
  <si>
    <t>Takeoff thrust-to-weight</t>
  </si>
  <si>
    <t>Excess</t>
  </si>
  <si>
    <t>Area</t>
  </si>
  <si>
    <t>Drag Polar</t>
  </si>
  <si>
    <t>CD0</t>
  </si>
  <si>
    <t>Engine</t>
  </si>
  <si>
    <t>kN</t>
  </si>
  <si>
    <t>lbf</t>
  </si>
  <si>
    <t>K1</t>
  </si>
  <si>
    <t>Thrust</t>
  </si>
  <si>
    <t>K2</t>
  </si>
  <si>
    <t>Convergence Flag</t>
  </si>
  <si>
    <t>CDR</t>
  </si>
  <si>
    <t>MISSION CALCULATIONS</t>
  </si>
  <si>
    <t>Fuel allowance (%)</t>
  </si>
  <si>
    <t>Mission Fuel Fraction</t>
  </si>
  <si>
    <t>SegNum</t>
  </si>
  <si>
    <t>Segment Name</t>
  </si>
  <si>
    <t xml:space="preserve">R </t>
  </si>
  <si>
    <t>Duration</t>
  </si>
  <si>
    <t>rho</t>
  </si>
  <si>
    <t>V</t>
  </si>
  <si>
    <t>L/D</t>
  </si>
  <si>
    <t>c-t</t>
  </si>
  <si>
    <t>MSWF</t>
  </si>
  <si>
    <t>Start Wt</t>
  </si>
  <si>
    <t xml:space="preserve">Start </t>
  </si>
  <si>
    <t>Fuel burn</t>
  </si>
  <si>
    <t>Wt Drop</t>
  </si>
  <si>
    <t>End Wt</t>
  </si>
  <si>
    <t>End</t>
  </si>
  <si>
    <t>(NM)</t>
  </si>
  <si>
    <t>(min)</t>
  </si>
  <si>
    <t>(KTAS)</t>
  </si>
  <si>
    <t>(1/h)</t>
  </si>
  <si>
    <t>(lb)</t>
  </si>
  <si>
    <t>Wt Fraction</t>
  </si>
  <si>
    <t>Start, warmup</t>
  </si>
  <si>
    <t>Takeoff</t>
  </si>
  <si>
    <t>Climb</t>
  </si>
  <si>
    <t>Cruise outbound</t>
  </si>
  <si>
    <t>Loiter @ 25000 ft</t>
  </si>
  <si>
    <t>Combat</t>
  </si>
  <si>
    <t>Drop/Fire Ordnance</t>
  </si>
  <si>
    <t>Cruise inbound</t>
  </si>
  <si>
    <t>Descend</t>
  </si>
  <si>
    <t>Loiter @sea level</t>
  </si>
  <si>
    <t>Landing, shutdown</t>
  </si>
  <si>
    <t>Fuel Required Calculation</t>
  </si>
  <si>
    <t>Fuel Burn</t>
  </si>
  <si>
    <t>Allowance</t>
  </si>
  <si>
    <t>Fuel Reqd</t>
  </si>
  <si>
    <t>Climb to 25k ft</t>
  </si>
  <si>
    <t>Descend to SL</t>
  </si>
  <si>
    <t>Fill out the table on the right based on the converged weights from the contraining mission and the parameters in the left table.</t>
  </si>
  <si>
    <t>% MTOW</t>
  </si>
  <si>
    <t>Payload + Crew (fixed)</t>
  </si>
  <si>
    <t>Engine Sizing</t>
  </si>
  <si>
    <t>Thrust-to-weight</t>
  </si>
  <si>
    <t>kg/kg</t>
  </si>
  <si>
    <t>lbf/lbm</t>
  </si>
  <si>
    <t>Wing Sizing</t>
  </si>
  <si>
    <t>Wing Loading</t>
  </si>
  <si>
    <t>kg/m2</t>
  </si>
  <si>
    <t>lb/ft2</t>
  </si>
  <si>
    <t>Fuselage length sizing constants</t>
  </si>
  <si>
    <t>a</t>
  </si>
  <si>
    <t>Span</t>
  </si>
  <si>
    <t>m</t>
  </si>
  <si>
    <t>ft</t>
  </si>
  <si>
    <t>c</t>
  </si>
  <si>
    <t>Root Chord</t>
  </si>
  <si>
    <t>Tip Chord</t>
  </si>
  <si>
    <t>Selected Design Parameters</t>
  </si>
  <si>
    <t>Aspect Ratio</t>
  </si>
  <si>
    <t>Wing aspect ratio</t>
  </si>
  <si>
    <t>Taper Ratio</t>
  </si>
  <si>
    <t>Wing taper ratio</t>
  </si>
  <si>
    <t>HT aspect ratio</t>
  </si>
  <si>
    <t>Fuselage Sizing</t>
  </si>
  <si>
    <t>HT taper ratio</t>
  </si>
  <si>
    <t>Length</t>
  </si>
  <si>
    <t>HT tail volume ratio</t>
  </si>
  <si>
    <t>HT TailArm/FusLength</t>
  </si>
  <si>
    <t>Horizontal Stabilizer Sizing</t>
  </si>
  <si>
    <t>VT aspect ratio</t>
  </si>
  <si>
    <t>Tail Volume Ratio</t>
  </si>
  <si>
    <t>VT taper ratio</t>
  </si>
  <si>
    <t>Moment arm</t>
  </si>
  <si>
    <t>VT tail volume ratio</t>
  </si>
  <si>
    <t>VT TailArm/FusLength</t>
  </si>
  <si>
    <t>Vertical Stabilizer Sizing</t>
  </si>
  <si>
    <t>Climb to 30k ft</t>
  </si>
  <si>
    <t>Climb to 30 kft</t>
  </si>
  <si>
    <t>Loiter @ 10 kft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</si>
</sst>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0.0000"/>
    <numFmt numFmtId="167" formatCode="#,##0.0"/>
    <numFmt numFmtId="168" formatCode="0.000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1" xfId="0" applyBorder="1"/>
    <xf numFmtId="0" fontId="2" fillId="0" borderId="1" xfId="0" applyFont="1" applyBorder="1"/>
    <xf numFmtId="10" fontId="2" fillId="3" borderId="1" xfId="0" applyNumberFormat="1" applyFont="1" applyFill="1" applyBorder="1"/>
    <xf numFmtId="0" fontId="2" fillId="5" borderId="1" xfId="0" applyFont="1" applyFill="1" applyBorder="1"/>
    <xf numFmtId="0" fontId="0" fillId="3" borderId="1" xfId="0" applyFill="1" applyBorder="1"/>
    <xf numFmtId="0" fontId="0" fillId="6" borderId="1" xfId="0" applyFill="1" applyBorder="1"/>
    <xf numFmtId="0" fontId="2" fillId="3" borderId="1" xfId="0" applyFont="1" applyFill="1" applyBorder="1"/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8" xfId="0" applyFont="1" applyBorder="1" applyAlignment="1">
      <alignment horizontal="center"/>
    </xf>
    <xf numFmtId="164" fontId="2" fillId="5" borderId="8" xfId="0" applyNumberFormat="1" applyFont="1" applyFill="1" applyBorder="1" applyAlignment="1">
      <alignment horizontal="center"/>
    </xf>
    <xf numFmtId="165" fontId="2" fillId="5" borderId="0" xfId="0" applyNumberFormat="1" applyFont="1" applyFill="1" applyAlignment="1">
      <alignment horizontal="center"/>
    </xf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2" fillId="0" borderId="0" xfId="0" applyFont="1"/>
    <xf numFmtId="1" fontId="0" fillId="3" borderId="1" xfId="0" applyNumberFormat="1" applyFill="1" applyBorder="1"/>
    <xf numFmtId="166" fontId="0" fillId="3" borderId="1" xfId="0" applyNumberFormat="1" applyFill="1" applyBorder="1"/>
    <xf numFmtId="2" fontId="0" fillId="3" borderId="1" xfId="0" applyNumberFormat="1" applyFill="1" applyBorder="1"/>
    <xf numFmtId="3" fontId="2" fillId="5" borderId="0" xfId="0" applyNumberFormat="1" applyFont="1" applyFill="1" applyAlignment="1">
      <alignment horizontal="center"/>
    </xf>
    <xf numFmtId="167" fontId="2" fillId="5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/>
    </xf>
    <xf numFmtId="2" fontId="2" fillId="3" borderId="1" xfId="0" applyNumberFormat="1" applyFont="1" applyFill="1" applyBorder="1"/>
    <xf numFmtId="2" fontId="0" fillId="6" borderId="1" xfId="0" applyNumberFormat="1" applyFill="1" applyBorder="1"/>
    <xf numFmtId="1" fontId="0" fillId="6" borderId="1" xfId="0" applyNumberFormat="1" applyFill="1" applyBorder="1"/>
    <xf numFmtId="166" fontId="0" fillId="6" borderId="1" xfId="0" applyNumberFormat="1" applyFill="1" applyBorder="1"/>
    <xf numFmtId="165" fontId="0" fillId="3" borderId="1" xfId="0" applyNumberFormat="1" applyFill="1" applyBorder="1"/>
    <xf numFmtId="165" fontId="0" fillId="6" borderId="1" xfId="0" applyNumberFormat="1" applyFill="1" applyBorder="1"/>
    <xf numFmtId="165" fontId="0" fillId="5" borderId="1" xfId="0" applyNumberFormat="1" applyFill="1" applyBorder="1"/>
    <xf numFmtId="3" fontId="0" fillId="0" borderId="1" xfId="0" applyNumberFormat="1" applyBorder="1"/>
    <xf numFmtId="3" fontId="0" fillId="3" borderId="1" xfId="0" applyNumberFormat="1" applyFill="1" applyBorder="1"/>
    <xf numFmtId="165" fontId="0" fillId="0" borderId="1" xfId="0" applyNumberForma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3" xfId="0" applyFont="1" applyBorder="1"/>
    <xf numFmtId="0" fontId="2" fillId="7" borderId="13" xfId="0" applyFont="1" applyFill="1" applyBorder="1"/>
    <xf numFmtId="0" fontId="2" fillId="0" borderId="14" xfId="0" applyFont="1" applyBorder="1"/>
    <xf numFmtId="0" fontId="2" fillId="7" borderId="14" xfId="0" applyFont="1" applyFill="1" applyBorder="1"/>
    <xf numFmtId="0" fontId="2" fillId="0" borderId="15" xfId="0" applyFont="1" applyBorder="1"/>
    <xf numFmtId="0" fontId="2" fillId="3" borderId="15" xfId="0" applyFont="1" applyFill="1" applyBorder="1"/>
    <xf numFmtId="0" fontId="2" fillId="3" borderId="13" xfId="0" applyFont="1" applyFill="1" applyBorder="1"/>
    <xf numFmtId="0" fontId="2" fillId="3" borderId="14" xfId="0" applyFont="1" applyFill="1" applyBorder="1"/>
    <xf numFmtId="0" fontId="2" fillId="0" borderId="13" xfId="0" applyFont="1" applyBorder="1" applyAlignment="1">
      <alignment horizontal="center"/>
    </xf>
    <xf numFmtId="1" fontId="2" fillId="5" borderId="13" xfId="0" applyNumberFormat="1" applyFont="1" applyFill="1" applyBorder="1" applyAlignment="1">
      <alignment horizontal="center"/>
    </xf>
    <xf numFmtId="10" fontId="2" fillId="5" borderId="13" xfId="0" applyNumberFormat="1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1" fontId="2" fillId="5" borderId="14" xfId="0" applyNumberFormat="1" applyFont="1" applyFill="1" applyBorder="1" applyAlignment="1">
      <alignment horizontal="center"/>
    </xf>
    <xf numFmtId="10" fontId="2" fillId="5" borderId="14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0" fontId="2" fillId="6" borderId="13" xfId="0" applyFont="1" applyFill="1" applyBorder="1" applyAlignment="1">
      <alignment horizontal="center"/>
    </xf>
    <xf numFmtId="2" fontId="2" fillId="6" borderId="13" xfId="0" applyNumberFormat="1" applyFont="1" applyFill="1" applyBorder="1" applyAlignment="1">
      <alignment horizontal="center"/>
    </xf>
    <xf numFmtId="165" fontId="2" fillId="5" borderId="13" xfId="0" applyNumberFormat="1" applyFont="1" applyFill="1" applyBorder="1" applyAlignment="1">
      <alignment horizontal="center"/>
    </xf>
    <xf numFmtId="2" fontId="2" fillId="5" borderId="13" xfId="0" applyNumberFormat="1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2" fontId="2" fillId="5" borderId="14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8" fontId="0" fillId="6" borderId="1" xfId="0" applyNumberFormat="1" applyFill="1" applyBorder="1"/>
    <xf numFmtId="3" fontId="0" fillId="0" borderId="1" xfId="0" applyNumberForma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3" xfId="0" applyBorder="1"/>
    <xf numFmtId="166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0" borderId="4" xfId="0" applyBorder="1"/>
    <xf numFmtId="168" fontId="0" fillId="3" borderId="1" xfId="0" applyNumberFormat="1" applyFill="1" applyBorder="1"/>
    <xf numFmtId="0" fontId="2" fillId="0" borderId="1" xfId="0" applyFont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2" fillId="4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336DC3-39B4-AD8D-97F1-129DACBD49C4}"/>
            </a:ext>
          </a:extLst>
        </xdr:cNvPr>
        <xdr:cNvSpPr/>
      </xdr:nvSpPr>
      <xdr:spPr>
        <a:xfrm>
          <a:off x="6733722" y="233814"/>
          <a:ext cx="558119" cy="69487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6951147-640E-45D1-9C9E-732D079330EC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DF3A2B-CB0D-4954-8D4B-DC327E2015CA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4AB3B11-7612-4F73-AE0A-64EA3051A713}"/>
            </a:ext>
          </a:extLst>
        </xdr:cNvPr>
        <xdr:cNvSpPr/>
      </xdr:nvSpPr>
      <xdr:spPr>
        <a:xfrm>
          <a:off x="6890884" y="236671"/>
          <a:ext cx="556849" cy="6974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Owen Reynolds" id="{7A6AEADC-AA83-41C6-8321-31341EB92F47}" userId="S::owr0001@auburn.edu::2fd6d747-7cd8-4c5e-a8e4-02df4298f30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72043088-4EEA-4B76-A115-1F14FEBB1066}">
    <text>I can’t find where he got this equation from</text>
  </threadedComment>
  <threadedComment ref="O30" dT="2025-11-26T09:30:23.06" personId="{7A6AEADC-AA83-41C6-8321-31341EB92F47}" id="{3363D3F0-5761-407D-B949-D98CF2AA4C15}" parentId="{72043088-4EEA-4B76-A115-1F14FEBB1066}">
    <text>Original equation: =1-Q30*C10*N30*(D30/60)
my equation: =1-(1/Q30)*C10*N30*(D30/60)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C211AC56-F2F0-43A2-BD14-9F16A0B70DFF}">
    <text>I can’t find where he got this equation from</text>
  </threadedComment>
  <threadedComment ref="O30" dT="2025-11-26T09:30:23.06" personId="{7A6AEADC-AA83-41C6-8321-31341EB92F47}" id="{747AD858-2D64-40F5-960D-692F4AC59F18}" parentId="{C211AC56-F2F0-43A2-BD14-9F16A0B70DFF}">
    <text>Original equation: =1-Q30*C10*N30*(D30/60)
my equation: =1-(1/Q30)*C10*N30*(D30/60)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82EED540-B20D-478B-9D24-94725FE72743}">
    <text>I can’t find where he got this equation from</text>
  </threadedComment>
  <threadedComment ref="O30" dT="2025-11-26T09:30:23.06" personId="{7A6AEADC-AA83-41C6-8321-31341EB92F47}" id="{AFC7495A-C167-431D-9F3D-CC277C383236}" parentId="{82EED540-B20D-478B-9D24-94725FE72743}">
    <text>Original equation: =1-Q30*C10*N30*(D30/60)
my equation: =1-(1/Q30)*C10*N30*(D30/60)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56C62712-80DB-43D5-AD5F-E3228C8A5BFB}">
    <text>I can’t find where he got this equation from</text>
  </threadedComment>
  <threadedComment ref="O30" dT="2025-11-26T09:30:23.06" personId="{7A6AEADC-AA83-41C6-8321-31341EB92F47}" id="{779F4978-9E1E-4404-8761-E42269D26127}" parentId="{56C62712-80DB-43D5-AD5F-E3228C8A5BFB}">
    <text>Original equation: =1-Q30*C10*N30*(D30/60)
my equation: =1-(1/Q30)*C10*N30*(D30/60)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5FBA-B989-4845-A934-A1C05A10FA07}">
  <sheetPr codeName="Sheet1"/>
  <dimension ref="A1:AC45"/>
  <sheetViews>
    <sheetView zoomScale="115" zoomScaleNormal="115" workbookViewId="0">
      <pane xSplit="2" topLeftCell="C1" activePane="topRight" state="frozen"/>
      <selection pane="topRight" activeCell="H32" sqref="H32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83" t="s">
        <v>0</v>
      </c>
      <c r="N1" s="84"/>
      <c r="O1" s="84"/>
      <c r="P1" s="85"/>
      <c r="R1" s="73" t="s">
        <v>1</v>
      </c>
      <c r="S1" s="73" t="s">
        <v>2</v>
      </c>
    </row>
    <row r="2" spans="2:29" x14ac:dyDescent="0.3">
      <c r="B2" s="77" t="s">
        <v>3</v>
      </c>
      <c r="C2" s="77"/>
      <c r="D2" s="77"/>
      <c r="F2" s="82" t="s">
        <v>4</v>
      </c>
      <c r="G2" s="82"/>
      <c r="H2" s="82"/>
      <c r="J2" s="86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58797.312930875487</v>
      </c>
      <c r="H3" s="1" t="s">
        <v>7</v>
      </c>
      <c r="J3" s="86"/>
      <c r="M3" s="8" t="s">
        <v>13</v>
      </c>
      <c r="N3" s="20">
        <f>O3*0.4536</f>
        <v>26670.461145449226</v>
      </c>
      <c r="O3" s="20">
        <f>SUM(O4:O7)</f>
        <v>58797.312930884538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(O5+O6+O4+R45)</f>
        <v>58797.312930884538</v>
      </c>
      <c r="H4" s="1" t="s">
        <v>7</v>
      </c>
      <c r="J4" s="1">
        <f>C3*$G$3^C4</f>
        <v>0.56130561299054271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0.46497022801257315</v>
      </c>
      <c r="R4" s="22">
        <v>15000</v>
      </c>
      <c r="S4" s="22">
        <v>1.495443163997E-3</v>
      </c>
    </row>
    <row r="5" spans="2:29" x14ac:dyDescent="0.3">
      <c r="B5" s="77" t="s">
        <v>17</v>
      </c>
      <c r="C5" s="77"/>
      <c r="D5" s="77"/>
      <c r="F5" s="1" t="s">
        <v>18</v>
      </c>
      <c r="G5" s="65">
        <f>G3-G4</f>
        <v>-9.0512912720441818E-9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4.0648116059477296E-2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5.1022739823611673E-3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82" t="s">
        <v>21</v>
      </c>
      <c r="G7" s="82"/>
      <c r="H7" s="82"/>
      <c r="M7" s="8" t="s">
        <v>22</v>
      </c>
      <c r="N7" s="20">
        <f t="shared" si="0"/>
        <v>13049.306745449225</v>
      </c>
      <c r="O7" s="20">
        <f>R45</f>
        <v>28768.312930884535</v>
      </c>
      <c r="P7" s="11">
        <f>O7/$O$3</f>
        <v>0.48927938194558829</v>
      </c>
    </row>
    <row r="8" spans="2:29" x14ac:dyDescent="0.3">
      <c r="B8" s="77" t="s">
        <v>23</v>
      </c>
      <c r="C8" s="77"/>
      <c r="D8" s="77"/>
      <c r="F8" s="1" t="s">
        <v>24</v>
      </c>
      <c r="G8" s="32">
        <f>G3-O4-O5-O6</f>
        <v>28768.312930875487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105</v>
      </c>
      <c r="D9" s="2" t="s">
        <v>28</v>
      </c>
      <c r="F9" s="1" t="s">
        <v>29</v>
      </c>
      <c r="G9" s="32">
        <f>R45</f>
        <v>28768.312930884535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0.87</v>
      </c>
      <c r="D10" s="2"/>
      <c r="F10" s="1" t="s">
        <v>39</v>
      </c>
      <c r="G10" s="32">
        <f>G8-G9</f>
        <v>-9.0476532932370901E-9</v>
      </c>
      <c r="H10" s="1" t="s">
        <v>7</v>
      </c>
      <c r="M10" s="8" t="s">
        <v>40</v>
      </c>
      <c r="N10" s="12">
        <f>O10/3.28^2</f>
        <v>52.049971079860121</v>
      </c>
      <c r="O10" s="21">
        <f>O3/C9</f>
        <v>559.97440886556706</v>
      </c>
      <c r="P10" s="10"/>
      <c r="W10" s="68">
        <v>0</v>
      </c>
      <c r="X10" s="67">
        <f>$C$12+$C$13*W10+$C$14*W10^2+$C$15</f>
        <v>0.02</v>
      </c>
      <c r="Y10" s="67">
        <f>W10/X10</f>
        <v>0</v>
      </c>
      <c r="Z10" s="67">
        <f>W10^(1/2)/X10</f>
        <v>0</v>
      </c>
    </row>
    <row r="11" spans="2:29" x14ac:dyDescent="0.3">
      <c r="B11" s="77" t="s">
        <v>41</v>
      </c>
      <c r="C11" s="77"/>
      <c r="D11" s="77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2.0005000000000002E-2</v>
      </c>
      <c r="Y11" s="67">
        <f t="shared" ref="Y11:Y44" si="2">W11/X11</f>
        <v>1.2496875781054735</v>
      </c>
      <c r="Z11" s="67">
        <f t="shared" ref="Z11:Z44" si="3">W11^(1/2)/X11</f>
        <v>7.9037182208657315</v>
      </c>
    </row>
    <row r="12" spans="2:29" x14ac:dyDescent="0.3">
      <c r="B12" s="2" t="s">
        <v>42</v>
      </c>
      <c r="C12" s="2">
        <v>0.02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2.002E-2</v>
      </c>
      <c r="Y12" s="67">
        <f t="shared" si="2"/>
        <v>2.4975024975024978</v>
      </c>
      <c r="Z12" s="67">
        <f t="shared" si="3"/>
        <v>11.169170716782165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227.54274349311473</v>
      </c>
      <c r="O13" s="20">
        <f>C10*O3</f>
        <v>51153.662249869551</v>
      </c>
      <c r="P13" s="13"/>
      <c r="V13" s="9"/>
      <c r="W13" s="68">
        <v>7.4999999999999997E-2</v>
      </c>
      <c r="X13" s="67">
        <f t="shared" si="1"/>
        <v>2.0045E-2</v>
      </c>
      <c r="Y13" s="67">
        <f t="shared" si="2"/>
        <v>3.7415814417560487</v>
      </c>
      <c r="Z13" s="67">
        <f t="shared" si="3"/>
        <v>13.662323709283264</v>
      </c>
    </row>
    <row r="14" spans="2:29" x14ac:dyDescent="0.3">
      <c r="B14" s="2" t="s">
        <v>48</v>
      </c>
      <c r="C14" s="2">
        <v>8.0000000000000002E-3</v>
      </c>
      <c r="D14" s="2"/>
      <c r="M14" s="14"/>
      <c r="N14" s="78" t="s">
        <v>49</v>
      </c>
      <c r="O14" s="78"/>
      <c r="P14" s="15">
        <f>AC34</f>
        <v>0</v>
      </c>
      <c r="W14" s="68">
        <v>0.1</v>
      </c>
      <c r="X14" s="67">
        <f t="shared" si="1"/>
        <v>2.0080000000000001E-2</v>
      </c>
      <c r="Y14" s="67">
        <f t="shared" si="2"/>
        <v>4.9800796812749004</v>
      </c>
      <c r="Z14" s="67">
        <f t="shared" si="3"/>
        <v>15.74839472195408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2.0125000000000001E-2</v>
      </c>
      <c r="Y15" s="67">
        <f t="shared" si="2"/>
        <v>6.2111801242236027</v>
      </c>
      <c r="Z15" s="67">
        <f t="shared" si="3"/>
        <v>17.56787034003845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2.018E-2</v>
      </c>
      <c r="Y16" s="67">
        <f t="shared" si="2"/>
        <v>7.4331020812685829</v>
      </c>
      <c r="Z16" s="67">
        <f t="shared" si="3"/>
        <v>19.192187047608609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2.0244999999999999E-2</v>
      </c>
      <c r="Y17" s="67">
        <f t="shared" si="2"/>
        <v>8.6441096567053588</v>
      </c>
      <c r="Z17" s="67">
        <f t="shared" si="3"/>
        <v>20.6633743278359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2.0320000000000001E-2</v>
      </c>
      <c r="Y18" s="67">
        <f t="shared" si="2"/>
        <v>9.8425196850393704</v>
      </c>
      <c r="Z18" s="67">
        <f t="shared" si="3"/>
        <v>22.008543085627849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2.0405E-2</v>
      </c>
      <c r="Y19" s="67">
        <f t="shared" si="2"/>
        <v>11.026709139916688</v>
      </c>
      <c r="Z19" s="67">
        <f t="shared" si="3"/>
        <v>23.246343985555349</v>
      </c>
      <c r="AA19" s="33"/>
      <c r="AB19" s="33"/>
      <c r="AC19" s="33"/>
    </row>
    <row r="20" spans="1:29" x14ac:dyDescent="0.3">
      <c r="A20" s="79" t="s">
        <v>51</v>
      </c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1"/>
      <c r="V20" s="33"/>
      <c r="W20" s="68">
        <v>0.25</v>
      </c>
      <c r="X20" s="67">
        <f t="shared" si="1"/>
        <v>2.0500000000000001E-2</v>
      </c>
      <c r="Y20" s="67">
        <f t="shared" si="2"/>
        <v>12.195121951219512</v>
      </c>
      <c r="Z20" s="67">
        <f t="shared" si="3"/>
        <v>24.390243902439025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82" t="s">
        <v>53</v>
      </c>
      <c r="F21" s="82"/>
      <c r="G21" s="82"/>
      <c r="H21" s="82"/>
      <c r="I21" s="82"/>
      <c r="J21" s="82"/>
      <c r="K21" s="82"/>
      <c r="L21" s="82"/>
      <c r="M21" s="82"/>
      <c r="N21" s="4">
        <f>R45/P25</f>
        <v>0.48927938194566362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2.0605000000000002E-2</v>
      </c>
      <c r="Y21" s="67">
        <f t="shared" si="2"/>
        <v>13.346275175928172</v>
      </c>
      <c r="Z21" s="67">
        <f t="shared" si="3"/>
        <v>25.450348172049296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2.0719999999999999E-2</v>
      </c>
      <c r="Y22" s="67">
        <f t="shared" si="2"/>
        <v>14.478764478764479</v>
      </c>
      <c r="Z22" s="67">
        <f t="shared" si="3"/>
        <v>26.434486366079444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2.0844999999999999E-2</v>
      </c>
      <c r="Y23" s="67">
        <f t="shared" si="2"/>
        <v>15.591268889421926</v>
      </c>
      <c r="Z23" s="67">
        <f t="shared" si="3"/>
        <v>27.348894821279398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2.0979999999999999E-2</v>
      </c>
      <c r="Y24" s="67">
        <f t="shared" si="2"/>
        <v>16.682554814108673</v>
      </c>
      <c r="Z24" s="67">
        <f t="shared" si="3"/>
        <v>28.198664361771289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0.98</v>
      </c>
      <c r="P25" s="27">
        <f>G3</f>
        <v>58797.312930875487</v>
      </c>
      <c r="Q25" s="18">
        <f t="shared" ref="Q25:Q35" si="4">P25/$P$25</f>
        <v>1</v>
      </c>
      <c r="R25" s="27">
        <f t="shared" ref="R25:R35" si="5">P25*(1-O25)</f>
        <v>1175.9462586175107</v>
      </c>
      <c r="S25" s="6">
        <v>0</v>
      </c>
      <c r="T25" s="29">
        <f t="shared" ref="T25:T35" si="6">P25-R25-S25</f>
        <v>57621.366672257973</v>
      </c>
      <c r="U25" s="18">
        <f t="shared" ref="U25:U35" si="7">T25/$P$25</f>
        <v>0.97999999999999987</v>
      </c>
      <c r="V25" s="33"/>
      <c r="W25" s="68">
        <v>0.375</v>
      </c>
      <c r="X25" s="67">
        <f t="shared" si="1"/>
        <v>2.1125000000000001E-2</v>
      </c>
      <c r="Y25" s="67">
        <f t="shared" si="2"/>
        <v>17.751479289940828</v>
      </c>
      <c r="Z25" s="67">
        <f t="shared" si="3"/>
        <v>28.988044293292045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0.98</v>
      </c>
      <c r="P26" s="27">
        <f>T25</f>
        <v>57621.366672257973</v>
      </c>
      <c r="Q26" s="18">
        <f t="shared" si="4"/>
        <v>0.97999999999999987</v>
      </c>
      <c r="R26" s="27">
        <f t="shared" si="5"/>
        <v>1152.4273334451605</v>
      </c>
      <c r="S26" s="6">
        <v>0</v>
      </c>
      <c r="T26" s="29">
        <f t="shared" si="6"/>
        <v>56468.939338812816</v>
      </c>
      <c r="U26" s="18">
        <f t="shared" si="7"/>
        <v>0.96039999999999992</v>
      </c>
      <c r="V26" s="33"/>
      <c r="W26" s="68">
        <v>0.4</v>
      </c>
      <c r="X26" s="67">
        <f t="shared" si="1"/>
        <v>2.128E-2</v>
      </c>
      <c r="Y26" s="67">
        <f t="shared" si="2"/>
        <v>18.796992481203009</v>
      </c>
      <c r="Z26" s="67">
        <f t="shared" si="3"/>
        <v>29.720654700830632</v>
      </c>
      <c r="AA26" s="33"/>
      <c r="AB26" s="33"/>
      <c r="AC26" s="33"/>
    </row>
    <row r="27" spans="1:29" x14ac:dyDescent="0.3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0.97</v>
      </c>
      <c r="P27" s="27">
        <f>T26</f>
        <v>56468.939338812816</v>
      </c>
      <c r="Q27" s="18">
        <f t="shared" si="4"/>
        <v>0.96039999999999992</v>
      </c>
      <c r="R27" s="27">
        <f t="shared" si="5"/>
        <v>1694.0681801643859</v>
      </c>
      <c r="S27" s="6">
        <v>0</v>
      </c>
      <c r="T27" s="29">
        <f t="shared" si="6"/>
        <v>54774.871158648428</v>
      </c>
      <c r="U27" s="18">
        <f t="shared" si="7"/>
        <v>0.93158799999999986</v>
      </c>
      <c r="V27" s="33"/>
      <c r="W27" s="68">
        <v>0.42499999999999999</v>
      </c>
      <c r="X27" s="67">
        <f t="shared" si="1"/>
        <v>2.1444999999999999E-2</v>
      </c>
      <c r="Y27" s="67">
        <f t="shared" si="2"/>
        <v>19.818139426439732</v>
      </c>
      <c r="Z27" s="67">
        <f t="shared" si="3"/>
        <v>30.399638168349959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850</v>
      </c>
      <c r="D28" s="5"/>
      <c r="E28" s="5">
        <v>1.0651321146979999E-3</v>
      </c>
      <c r="F28" s="5">
        <v>0.02</v>
      </c>
      <c r="G28" s="5">
        <v>0</v>
      </c>
      <c r="H28" s="5">
        <v>0.129</v>
      </c>
      <c r="I28" s="5">
        <v>0</v>
      </c>
      <c r="J28" s="72">
        <v>0.18218200000000001</v>
      </c>
      <c r="K28" s="26">
        <f>F28+G28*J28+H28*J28^2+I28</f>
        <v>2.4281546264996002E-2</v>
      </c>
      <c r="L28" s="25">
        <f>SQRT(2*Q28*$C$9/(E28*J28))/$S$9</f>
        <v>594.89944280012458</v>
      </c>
      <c r="M28" s="24">
        <f>J28/K28</f>
        <v>7.5028994451902546</v>
      </c>
      <c r="N28" s="19">
        <v>0.85</v>
      </c>
      <c r="O28" s="64">
        <f>EXP(-6076.12*C28*(N28/3600)/(1.68781*L28*M28))</f>
        <v>0.85055205996461425</v>
      </c>
      <c r="P28" s="27">
        <f t="shared" ref="P28:P35" si="8">T27</f>
        <v>54774.871158648428</v>
      </c>
      <c r="Q28" s="18">
        <f t="shared" si="4"/>
        <v>0.93158799999999986</v>
      </c>
      <c r="R28" s="27">
        <f t="shared" si="5"/>
        <v>8185.9916603636702</v>
      </c>
      <c r="S28" s="6">
        <v>0</v>
      </c>
      <c r="T28" s="29">
        <f t="shared" si="6"/>
        <v>46588.879498284761</v>
      </c>
      <c r="U28" s="18">
        <f t="shared" si="7"/>
        <v>0.79236409243831507</v>
      </c>
      <c r="V28" s="33"/>
      <c r="W28" s="68">
        <v>0.45</v>
      </c>
      <c r="X28" s="67">
        <f t="shared" si="1"/>
        <v>2.162E-2</v>
      </c>
      <c r="Y28" s="67">
        <f t="shared" si="2"/>
        <v>20.814061054579092</v>
      </c>
      <c r="Z28" s="67">
        <f t="shared" si="3"/>
        <v>31.027770270579875</v>
      </c>
      <c r="AA28" s="33"/>
      <c r="AB28" s="33"/>
      <c r="AC28" s="33"/>
    </row>
    <row r="29" spans="1:29" x14ac:dyDescent="0.3">
      <c r="A29" s="1">
        <v>5</v>
      </c>
      <c r="B29" s="5" t="s">
        <v>79</v>
      </c>
      <c r="C29" s="5"/>
      <c r="D29" s="5">
        <v>15</v>
      </c>
      <c r="E29" s="5">
        <v>1.0651321146979999E-3</v>
      </c>
      <c r="F29" s="5">
        <v>0.02</v>
      </c>
      <c r="G29" s="5">
        <v>0</v>
      </c>
      <c r="H29" s="5">
        <v>0.129</v>
      </c>
      <c r="I29" s="5">
        <v>0</v>
      </c>
      <c r="J29" s="72">
        <v>0.31631599999999999</v>
      </c>
      <c r="K29" s="26">
        <f>F29+G29*J29+H29*J29^2+I29</f>
        <v>3.2907199729423998E-2</v>
      </c>
      <c r="L29" s="25">
        <f t="shared" ref="L29:L34" si="9">SQRT(2*Q29*$C$9/(E29*J29))/$S$9</f>
        <v>416.37645681219806</v>
      </c>
      <c r="M29" s="24">
        <f>J29/K29</f>
        <v>9.6123645463872691</v>
      </c>
      <c r="N29" s="19">
        <v>0.75</v>
      </c>
      <c r="O29" s="64">
        <f>EXP(-(D29*60)*(N29/3600)/(M29))</f>
        <v>0.98068288689473326</v>
      </c>
      <c r="P29" s="27">
        <f t="shared" si="8"/>
        <v>46588.879498284761</v>
      </c>
      <c r="Q29" s="18">
        <f t="shared" si="4"/>
        <v>0.79236409243831507</v>
      </c>
      <c r="R29" s="27">
        <f t="shared" si="5"/>
        <v>899.9626547160093</v>
      </c>
      <c r="S29" s="6">
        <v>0</v>
      </c>
      <c r="T29" s="29">
        <f t="shared" si="6"/>
        <v>45688.916843568753</v>
      </c>
      <c r="U29" s="18">
        <f t="shared" si="7"/>
        <v>0.77705790564413213</v>
      </c>
      <c r="V29" s="33"/>
      <c r="W29" s="68">
        <v>0.47499999999999998</v>
      </c>
      <c r="X29" s="67">
        <f t="shared" si="1"/>
        <v>2.1805000000000001E-2</v>
      </c>
      <c r="Y29" s="67">
        <f t="shared" si="2"/>
        <v>21.783994496675071</v>
      </c>
      <c r="Z29" s="67">
        <f t="shared" si="3"/>
        <v>31.607541279729926</v>
      </c>
      <c r="AA29" s="33"/>
      <c r="AB29" s="33"/>
      <c r="AC29" s="33"/>
    </row>
    <row r="30" spans="1:29" x14ac:dyDescent="0.3">
      <c r="A30" s="1">
        <v>6</v>
      </c>
      <c r="B30" s="5" t="s">
        <v>80</v>
      </c>
      <c r="C30" s="5"/>
      <c r="D30" s="5">
        <v>4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1-(1/Q30)*C10*N30*(D30/60)</f>
        <v>0.86191505263554968</v>
      </c>
      <c r="P30" s="27">
        <f t="shared" si="8"/>
        <v>45688.916843568753</v>
      </c>
      <c r="Q30" s="18">
        <f t="shared" si="4"/>
        <v>0.77705790564413213</v>
      </c>
      <c r="R30" s="27">
        <f t="shared" si="5"/>
        <v>6308.951677482939</v>
      </c>
      <c r="S30" s="6">
        <v>0</v>
      </c>
      <c r="T30" s="29">
        <f t="shared" si="6"/>
        <v>39379.965166085814</v>
      </c>
      <c r="U30" s="18">
        <f t="shared" si="7"/>
        <v>0.66975790564413218</v>
      </c>
      <c r="V30" s="33"/>
      <c r="W30" s="68">
        <v>0.5</v>
      </c>
      <c r="X30" s="67">
        <f t="shared" si="1"/>
        <v>2.1999999999999999E-2</v>
      </c>
      <c r="Y30" s="67">
        <f t="shared" si="2"/>
        <v>22.72727272727273</v>
      </c>
      <c r="Z30" s="67">
        <f t="shared" si="3"/>
        <v>32.141217326661256</v>
      </c>
      <c r="AA30" s="33"/>
      <c r="AB30" s="33"/>
      <c r="AC30" s="33"/>
    </row>
    <row r="31" spans="1:29" x14ac:dyDescent="0.3">
      <c r="A31" s="1">
        <v>7</v>
      </c>
      <c r="B31" s="5" t="s">
        <v>81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39379.965166085814</v>
      </c>
      <c r="Q31" s="18">
        <f t="shared" si="4"/>
        <v>0.66975790564413218</v>
      </c>
      <c r="R31" s="27">
        <f t="shared" si="5"/>
        <v>0</v>
      </c>
      <c r="S31" s="6">
        <v>2390</v>
      </c>
      <c r="T31" s="29">
        <f t="shared" si="6"/>
        <v>36989.965166085814</v>
      </c>
      <c r="U31" s="18">
        <f t="shared" si="7"/>
        <v>0.62910978958464858</v>
      </c>
      <c r="V31" s="33"/>
      <c r="W31" s="68">
        <v>0.52500000000000002</v>
      </c>
      <c r="X31" s="67">
        <f t="shared" si="1"/>
        <v>2.2204999999999999E-2</v>
      </c>
      <c r="Y31" s="67">
        <f t="shared" si="2"/>
        <v>23.643323575771223</v>
      </c>
      <c r="Z31" s="67">
        <f t="shared" si="3"/>
        <v>32.630886616053679</v>
      </c>
      <c r="AA31" s="33"/>
      <c r="AB31" s="33"/>
      <c r="AC31" s="33"/>
    </row>
    <row r="32" spans="1:29" x14ac:dyDescent="0.3">
      <c r="A32" s="1">
        <v>8</v>
      </c>
      <c r="B32" s="5" t="s">
        <v>82</v>
      </c>
      <c r="C32" s="5">
        <v>850</v>
      </c>
      <c r="D32" s="5"/>
      <c r="E32" s="5">
        <v>1.0651321146979999E-3</v>
      </c>
      <c r="F32" s="5">
        <v>0.02</v>
      </c>
      <c r="G32" s="5">
        <v>0</v>
      </c>
      <c r="H32" s="5">
        <v>0.129</v>
      </c>
      <c r="I32" s="5">
        <v>0</v>
      </c>
      <c r="J32" s="72">
        <v>0.18218200000000001</v>
      </c>
      <c r="K32" s="26">
        <f>F32+G32*J32+H32*J32^2+I32</f>
        <v>2.4281546264996002E-2</v>
      </c>
      <c r="L32" s="25">
        <f t="shared" si="9"/>
        <v>488.87163650904563</v>
      </c>
      <c r="M32" s="24">
        <f>J32/K32</f>
        <v>7.5028994451902546</v>
      </c>
      <c r="N32" s="19">
        <v>0.85</v>
      </c>
      <c r="O32" s="64">
        <f>EXP(-6076.12*C32*(N32/3600)/(1.68781*L32*M32))</f>
        <v>0.82121002315802005</v>
      </c>
      <c r="P32" s="27">
        <f t="shared" si="8"/>
        <v>36989.965166085814</v>
      </c>
      <c r="Q32" s="18">
        <f t="shared" si="4"/>
        <v>0.62910978958464858</v>
      </c>
      <c r="R32" s="27">
        <f t="shared" si="5"/>
        <v>6613.4350154301274</v>
      </c>
      <c r="S32" s="6">
        <v>0</v>
      </c>
      <c r="T32" s="29">
        <f t="shared" si="6"/>
        <v>30376.530150655686</v>
      </c>
      <c r="U32" s="18">
        <f t="shared" si="7"/>
        <v>0.51663126487374633</v>
      </c>
      <c r="V32" s="33"/>
      <c r="W32" s="68">
        <v>0.55000000000000004</v>
      </c>
      <c r="X32" s="67">
        <f t="shared" si="1"/>
        <v>2.2420000000000002E-2</v>
      </c>
      <c r="Y32" s="67">
        <f t="shared" si="2"/>
        <v>24.531668153434431</v>
      </c>
      <c r="Z32" s="67">
        <f t="shared" si="3"/>
        <v>33.078494590078776</v>
      </c>
      <c r="AA32" s="33"/>
      <c r="AB32" s="33"/>
      <c r="AC32" s="33"/>
    </row>
    <row r="33" spans="1:29" x14ac:dyDescent="0.3">
      <c r="A33" s="1">
        <v>9</v>
      </c>
      <c r="B33" s="5" t="s">
        <v>83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30376.530150655686</v>
      </c>
      <c r="Q33" s="18">
        <f t="shared" si="4"/>
        <v>0.51663126487374633</v>
      </c>
      <c r="R33" s="27">
        <f t="shared" si="5"/>
        <v>303.76530150655714</v>
      </c>
      <c r="S33" s="6">
        <v>0</v>
      </c>
      <c r="T33" s="29">
        <f t="shared" si="6"/>
        <v>30072.764849149127</v>
      </c>
      <c r="U33" s="18">
        <f t="shared" si="7"/>
        <v>0.51146495222500887</v>
      </c>
      <c r="V33" s="33"/>
      <c r="W33" s="68">
        <v>0.57499999999999996</v>
      </c>
      <c r="X33" s="67">
        <f t="shared" si="1"/>
        <v>2.2644999999999998E-2</v>
      </c>
      <c r="Y33" s="67">
        <f t="shared" si="2"/>
        <v>25.391918745860014</v>
      </c>
      <c r="Z33" s="67">
        <f t="shared" si="3"/>
        <v>33.485870806145066</v>
      </c>
      <c r="AA33" s="33"/>
      <c r="AB33" s="33"/>
      <c r="AC33" s="33"/>
    </row>
    <row r="34" spans="1:29" x14ac:dyDescent="0.3">
      <c r="A34" s="1">
        <v>10</v>
      </c>
      <c r="B34" s="5" t="s">
        <v>84</v>
      </c>
      <c r="C34" s="5"/>
      <c r="D34" s="5">
        <v>20</v>
      </c>
      <c r="E34" s="5">
        <v>2.3768959719029999E-3</v>
      </c>
      <c r="F34" s="5">
        <v>0.02</v>
      </c>
      <c r="G34" s="5">
        <v>0</v>
      </c>
      <c r="H34" s="5">
        <v>0.08</v>
      </c>
      <c r="I34" s="5">
        <v>0</v>
      </c>
      <c r="J34" s="72">
        <v>0.31631599999999999</v>
      </c>
      <c r="K34" s="26">
        <f>F34+G34*J34+H34*J34^2+I34</f>
        <v>2.8004464948479999E-2</v>
      </c>
      <c r="L34" s="25">
        <f t="shared" si="9"/>
        <v>223.93829329215512</v>
      </c>
      <c r="M34" s="24">
        <f>J34/K34</f>
        <v>11.295198839968149</v>
      </c>
      <c r="N34" s="19">
        <v>0.75</v>
      </c>
      <c r="O34" s="64">
        <f>EXP(-(D34*60)*(N34/3600)/(M34))</f>
        <v>0.97810984643886745</v>
      </c>
      <c r="P34" s="27">
        <f t="shared" si="8"/>
        <v>30072.764849149127</v>
      </c>
      <c r="Q34" s="18">
        <f t="shared" si="4"/>
        <v>0.51146495222500887</v>
      </c>
      <c r="R34" s="27">
        <f t="shared" si="5"/>
        <v>658.29744055570359</v>
      </c>
      <c r="S34" s="6">
        <v>0</v>
      </c>
      <c r="T34" s="29">
        <f t="shared" si="6"/>
        <v>29414.467408593424</v>
      </c>
      <c r="U34" s="18">
        <f t="shared" si="7"/>
        <v>0.5002689058796661</v>
      </c>
      <c r="V34" s="33"/>
      <c r="W34" s="68">
        <v>0.6</v>
      </c>
      <c r="X34" s="67">
        <f t="shared" si="1"/>
        <v>2.2880000000000001E-2</v>
      </c>
      <c r="Y34" s="67">
        <f t="shared" si="2"/>
        <v>26.223776223776223</v>
      </c>
      <c r="Z34" s="67">
        <f t="shared" si="3"/>
        <v>33.85474952978511</v>
      </c>
      <c r="AA34" s="34"/>
      <c r="AB34" s="34"/>
      <c r="AC34" s="34"/>
    </row>
    <row r="35" spans="1:29" x14ac:dyDescent="0.3">
      <c r="A35" s="1">
        <v>11</v>
      </c>
      <c r="B35" s="5" t="s">
        <v>85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29414.467408593424</v>
      </c>
      <c r="Q35" s="18">
        <f t="shared" si="4"/>
        <v>0.5002689058796661</v>
      </c>
      <c r="R35" s="27">
        <f t="shared" si="5"/>
        <v>147.07233704296726</v>
      </c>
      <c r="S35" s="6">
        <v>0</v>
      </c>
      <c r="T35" s="29">
        <f t="shared" si="6"/>
        <v>29267.395071550458</v>
      </c>
      <c r="U35" s="18">
        <f t="shared" si="7"/>
        <v>0.49776756135026778</v>
      </c>
      <c r="V35" s="34"/>
      <c r="W35" s="68">
        <v>0.625</v>
      </c>
      <c r="X35" s="67">
        <f t="shared" si="1"/>
        <v>2.3125E-2</v>
      </c>
      <c r="Y35" s="67">
        <f t="shared" si="2"/>
        <v>27.027027027027028</v>
      </c>
      <c r="Z35" s="67">
        <f t="shared" si="3"/>
        <v>34.186785515333831</v>
      </c>
    </row>
    <row r="36" spans="1:29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2.3380000000000001E-2</v>
      </c>
      <c r="Y36" s="67">
        <f t="shared" si="2"/>
        <v>27.801539777587681</v>
      </c>
      <c r="Z36" s="67">
        <f t="shared" si="3"/>
        <v>34.483566074844099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2.3644999999999999E-2</v>
      </c>
      <c r="Y37" s="67">
        <f t="shared" si="2"/>
        <v>28.547261577500532</v>
      </c>
      <c r="Z37" s="67">
        <f t="shared" si="3"/>
        <v>34.746620268883454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2.392E-2</v>
      </c>
      <c r="Y38" s="67">
        <f t="shared" si="2"/>
        <v>29.26421404682274</v>
      </c>
      <c r="Z38" s="67">
        <f t="shared" si="3"/>
        <v>34.977425858447972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2.4205000000000001E-2</v>
      </c>
      <c r="Y39" s="67">
        <f t="shared" si="2"/>
        <v>29.952489155133236</v>
      </c>
      <c r="Z39" s="67">
        <f t="shared" si="3"/>
        <v>35.177414513378224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2.4500000000000001E-2</v>
      </c>
      <c r="Y40" s="67">
        <f t="shared" si="2"/>
        <v>30.612244897959183</v>
      </c>
      <c r="Z40" s="67">
        <f t="shared" si="3"/>
        <v>35.347975664670962</v>
      </c>
    </row>
    <row r="41" spans="1:29" x14ac:dyDescent="0.3">
      <c r="W41" s="68">
        <v>0.77500000000000002</v>
      </c>
      <c r="X41" s="67">
        <f t="shared" si="1"/>
        <v>2.4805000000000001E-2</v>
      </c>
      <c r="Y41" s="67">
        <f t="shared" si="2"/>
        <v>31.243700866760733</v>
      </c>
      <c r="Z41" s="67">
        <f t="shared" si="3"/>
        <v>35.490459305904068</v>
      </c>
    </row>
    <row r="42" spans="1:29" x14ac:dyDescent="0.3">
      <c r="Q42" s="74" t="s">
        <v>86</v>
      </c>
      <c r="R42" s="75"/>
      <c r="S42" s="76"/>
      <c r="W42" s="68">
        <v>0.8</v>
      </c>
      <c r="X42" s="67">
        <f t="shared" si="1"/>
        <v>2.5120000000000003E-2</v>
      </c>
      <c r="Y42" s="67">
        <f t="shared" si="2"/>
        <v>31.847133757961782</v>
      </c>
      <c r="Z42" s="67">
        <f t="shared" si="3"/>
        <v>35.606177985665433</v>
      </c>
    </row>
    <row r="43" spans="1:29" x14ac:dyDescent="0.3">
      <c r="Q43" s="1" t="s">
        <v>87</v>
      </c>
      <c r="R43" s="32">
        <f>SUM(R25:R40)</f>
        <v>27139.917859325033</v>
      </c>
      <c r="S43" s="1" t="s">
        <v>7</v>
      </c>
      <c r="W43" s="68">
        <v>0.82499999999999996</v>
      </c>
      <c r="X43" s="67">
        <f t="shared" si="1"/>
        <v>2.5444999999999999E-2</v>
      </c>
      <c r="Y43" s="67">
        <f t="shared" si="2"/>
        <v>32.422872863037924</v>
      </c>
      <c r="Z43" s="67">
        <f t="shared" si="3"/>
        <v>35.696408183503536</v>
      </c>
    </row>
    <row r="44" spans="1:29" x14ac:dyDescent="0.3">
      <c r="Q44" s="1" t="s">
        <v>88</v>
      </c>
      <c r="R44" s="32">
        <f>R43*C21</f>
        <v>1628.395071559502</v>
      </c>
      <c r="S44" s="1" t="s">
        <v>7</v>
      </c>
      <c r="W44" s="68">
        <v>0.85</v>
      </c>
      <c r="X44" s="67">
        <f t="shared" si="1"/>
        <v>2.5780000000000001E-2</v>
      </c>
      <c r="Y44" s="67">
        <f t="shared" si="2"/>
        <v>32.971295577967418</v>
      </c>
      <c r="Z44" s="67">
        <f t="shared" si="3"/>
        <v>35.76239122301353</v>
      </c>
    </row>
    <row r="45" spans="1:29" x14ac:dyDescent="0.3">
      <c r="Q45" s="1" t="s">
        <v>89</v>
      </c>
      <c r="R45" s="32">
        <f>R43+R44</f>
        <v>28768.312930884535</v>
      </c>
      <c r="S45" s="1" t="s">
        <v>7</v>
      </c>
    </row>
  </sheetData>
  <mergeCells count="12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8:Y44">
    <cfRule type="top10" dxfId="5" priority="2" rank="1"/>
  </conditionalFormatting>
  <conditionalFormatting sqref="Z8:Z44">
    <cfRule type="top10" dxfId="4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AE671-5E61-450F-98EF-C357F38E42B6}">
  <sheetPr codeName="Sheet4"/>
  <dimension ref="A1:AC45"/>
  <sheetViews>
    <sheetView zoomScale="115" zoomScaleNormal="115" workbookViewId="0">
      <pane xSplit="2" topLeftCell="C1" activePane="topRight" state="frozen"/>
      <selection pane="topRight" activeCell="B49" sqref="B49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83" t="s">
        <v>0</v>
      </c>
      <c r="N1" s="84"/>
      <c r="O1" s="84"/>
      <c r="P1" s="85"/>
      <c r="R1" s="73" t="s">
        <v>1</v>
      </c>
      <c r="S1" s="73" t="s">
        <v>2</v>
      </c>
    </row>
    <row r="2" spans="2:29" x14ac:dyDescent="0.3">
      <c r="B2" s="77" t="s">
        <v>3</v>
      </c>
      <c r="C2" s="77"/>
      <c r="D2" s="77"/>
      <c r="F2" s="82" t="s">
        <v>4</v>
      </c>
      <c r="G2" s="82"/>
      <c r="H2" s="82"/>
      <c r="J2" s="86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50832.92307402227</v>
      </c>
      <c r="H3" s="1" t="s">
        <v>7</v>
      </c>
      <c r="J3" s="86"/>
      <c r="M3" s="8" t="s">
        <v>13</v>
      </c>
      <c r="N3" s="20">
        <f>O3*0.4536</f>
        <v>23057.81390637649</v>
      </c>
      <c r="O3" s="20">
        <f>SUM(O4:O7)</f>
        <v>50832.923074022248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(O5+O6+O4+R45)</f>
        <v>50832.923074022248</v>
      </c>
      <c r="H4" s="1" t="s">
        <v>7</v>
      </c>
      <c r="J4" s="1">
        <f>C3*$G$3^C4</f>
        <v>0.57202761679059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0.53782073401896047</v>
      </c>
      <c r="R4" s="22">
        <v>15000</v>
      </c>
      <c r="S4" s="22">
        <v>1.495443163997E-3</v>
      </c>
    </row>
    <row r="5" spans="2:29" x14ac:dyDescent="0.3">
      <c r="B5" s="77" t="s">
        <v>17</v>
      </c>
      <c r="C5" s="77"/>
      <c r="D5" s="77"/>
      <c r="F5" s="1" t="s">
        <v>18</v>
      </c>
      <c r="G5" s="65">
        <f>G3-G4</f>
        <v>0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4.7016772899715266E-2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5.9016869748596563E-3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82" t="s">
        <v>21</v>
      </c>
      <c r="G7" s="82"/>
      <c r="H7" s="82"/>
      <c r="M7" s="8" t="s">
        <v>22</v>
      </c>
      <c r="N7" s="20">
        <f t="shared" si="0"/>
        <v>9436.6595063764926</v>
      </c>
      <c r="O7" s="20">
        <f>R45</f>
        <v>20803.923074022248</v>
      </c>
      <c r="P7" s="11">
        <f>O7/$O$3</f>
        <v>0.40926080610646459</v>
      </c>
    </row>
    <row r="8" spans="2:29" x14ac:dyDescent="0.3">
      <c r="B8" s="77" t="s">
        <v>23</v>
      </c>
      <c r="C8" s="77"/>
      <c r="D8" s="77"/>
      <c r="F8" s="1" t="s">
        <v>24</v>
      </c>
      <c r="G8" s="32">
        <f>G3-O4-O5-O6</f>
        <v>20803.92307402227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105</v>
      </c>
      <c r="D9" s="2" t="s">
        <v>28</v>
      </c>
      <c r="F9" s="1" t="s">
        <v>29</v>
      </c>
      <c r="G9" s="32">
        <f>R45</f>
        <v>20803.923074022248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0.87</v>
      </c>
      <c r="D10" s="2"/>
      <c r="F10" s="1" t="s">
        <v>39</v>
      </c>
      <c r="G10" s="32">
        <f>G8-G9</f>
        <v>0</v>
      </c>
      <c r="H10" s="1" t="s">
        <v>7</v>
      </c>
      <c r="M10" s="8" t="s">
        <v>40</v>
      </c>
      <c r="N10" s="12">
        <f>O10/3.28^2</f>
        <v>44.999542394356972</v>
      </c>
      <c r="O10" s="21">
        <f>O3/C9</f>
        <v>484.12307689544997</v>
      </c>
      <c r="P10" s="10"/>
      <c r="W10" s="68">
        <v>0</v>
      </c>
      <c r="X10" s="67">
        <f>$C$12+$C$13*W10+$C$14*W10^2+$C$15</f>
        <v>0.02</v>
      </c>
      <c r="Y10" s="67">
        <f>W10/X10</f>
        <v>0</v>
      </c>
      <c r="Z10" s="67">
        <f>W10^(1/2)/X10</f>
        <v>0</v>
      </c>
    </row>
    <row r="11" spans="2:29" x14ac:dyDescent="0.3">
      <c r="B11" s="77" t="s">
        <v>41</v>
      </c>
      <c r="C11" s="77"/>
      <c r="D11" s="77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2.0005000000000002E-2</v>
      </c>
      <c r="Y11" s="67">
        <f t="shared" ref="Y11:Y44" si="2">W11/X11</f>
        <v>1.2496875781054735</v>
      </c>
      <c r="Z11" s="67">
        <f t="shared" ref="Z11:Z44" si="3">W11^(1/2)/X11</f>
        <v>7.9037182208657315</v>
      </c>
    </row>
    <row r="12" spans="2:29" x14ac:dyDescent="0.3">
      <c r="B12" s="2" t="s">
        <v>42</v>
      </c>
      <c r="C12" s="2">
        <v>0.02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2.002E-2</v>
      </c>
      <c r="Y12" s="67">
        <f t="shared" si="2"/>
        <v>2.4975024975024978</v>
      </c>
      <c r="Z12" s="67">
        <f t="shared" si="3"/>
        <v>11.169170716782165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196.72094181640472</v>
      </c>
      <c r="O13" s="20">
        <f>C10*O3</f>
        <v>44224.643074399355</v>
      </c>
      <c r="P13" s="13"/>
      <c r="V13" s="9"/>
      <c r="W13" s="68">
        <v>7.4999999999999997E-2</v>
      </c>
      <c r="X13" s="67">
        <f t="shared" si="1"/>
        <v>2.0045E-2</v>
      </c>
      <c r="Y13" s="67">
        <f t="shared" si="2"/>
        <v>3.7415814417560487</v>
      </c>
      <c r="Z13" s="67">
        <f t="shared" si="3"/>
        <v>13.662323709283264</v>
      </c>
    </row>
    <row r="14" spans="2:29" x14ac:dyDescent="0.3">
      <c r="B14" s="2" t="s">
        <v>48</v>
      </c>
      <c r="C14" s="2">
        <v>8.0000000000000002E-3</v>
      </c>
      <c r="D14" s="2"/>
      <c r="M14" s="14"/>
      <c r="N14" s="78" t="s">
        <v>49</v>
      </c>
      <c r="O14" s="78"/>
      <c r="P14" s="15">
        <f>AC34</f>
        <v>0</v>
      </c>
      <c r="W14" s="68">
        <v>0.1</v>
      </c>
      <c r="X14" s="67">
        <f t="shared" si="1"/>
        <v>2.0080000000000001E-2</v>
      </c>
      <c r="Y14" s="67">
        <f t="shared" si="2"/>
        <v>4.9800796812749004</v>
      </c>
      <c r="Z14" s="67">
        <f t="shared" si="3"/>
        <v>15.74839472195408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2.0125000000000001E-2</v>
      </c>
      <c r="Y15" s="67">
        <f t="shared" si="2"/>
        <v>6.2111801242236027</v>
      </c>
      <c r="Z15" s="67">
        <f t="shared" si="3"/>
        <v>17.56787034003845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2.018E-2</v>
      </c>
      <c r="Y16" s="67">
        <f t="shared" si="2"/>
        <v>7.4331020812685829</v>
      </c>
      <c r="Z16" s="67">
        <f t="shared" si="3"/>
        <v>19.192187047608609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2.0244999999999999E-2</v>
      </c>
      <c r="Y17" s="67">
        <f t="shared" si="2"/>
        <v>8.6441096567053588</v>
      </c>
      <c r="Z17" s="67">
        <f t="shared" si="3"/>
        <v>20.6633743278359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2.0320000000000001E-2</v>
      </c>
      <c r="Y18" s="67">
        <f t="shared" si="2"/>
        <v>9.8425196850393704</v>
      </c>
      <c r="Z18" s="67">
        <f t="shared" si="3"/>
        <v>22.008543085627849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2.0405E-2</v>
      </c>
      <c r="Y19" s="67">
        <f t="shared" si="2"/>
        <v>11.026709139916688</v>
      </c>
      <c r="Z19" s="67">
        <f t="shared" si="3"/>
        <v>23.246343985555349</v>
      </c>
      <c r="AA19" s="33"/>
      <c r="AB19" s="33"/>
      <c r="AC19" s="33"/>
    </row>
    <row r="20" spans="1:29" x14ac:dyDescent="0.3">
      <c r="A20" s="79" t="s">
        <v>51</v>
      </c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1"/>
      <c r="V20" s="33"/>
      <c r="W20" s="68">
        <v>0.25</v>
      </c>
      <c r="X20" s="67">
        <f t="shared" si="1"/>
        <v>2.0500000000000001E-2</v>
      </c>
      <c r="Y20" s="67">
        <f t="shared" si="2"/>
        <v>12.195121951219512</v>
      </c>
      <c r="Z20" s="67">
        <f t="shared" si="3"/>
        <v>24.390243902439025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82" t="s">
        <v>53</v>
      </c>
      <c r="F21" s="82"/>
      <c r="G21" s="82"/>
      <c r="H21" s="82"/>
      <c r="I21" s="82"/>
      <c r="J21" s="82"/>
      <c r="K21" s="82"/>
      <c r="L21" s="82"/>
      <c r="M21" s="82"/>
      <c r="N21" s="4">
        <f>R45/P25</f>
        <v>0.40926080610646437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2.0605000000000002E-2</v>
      </c>
      <c r="Y21" s="67">
        <f t="shared" si="2"/>
        <v>13.346275175928172</v>
      </c>
      <c r="Z21" s="67">
        <f t="shared" si="3"/>
        <v>25.450348172049296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2.0719999999999999E-2</v>
      </c>
      <c r="Y22" s="67">
        <f t="shared" si="2"/>
        <v>14.478764478764479</v>
      </c>
      <c r="Z22" s="67">
        <f t="shared" si="3"/>
        <v>26.434486366079444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2.0844999999999999E-2</v>
      </c>
      <c r="Y23" s="67">
        <f t="shared" si="2"/>
        <v>15.591268889421926</v>
      </c>
      <c r="Z23" s="67">
        <f t="shared" si="3"/>
        <v>27.348894821279398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2.0979999999999999E-2</v>
      </c>
      <c r="Y24" s="67">
        <f t="shared" si="2"/>
        <v>16.682554814108673</v>
      </c>
      <c r="Z24" s="67">
        <f t="shared" si="3"/>
        <v>28.198664361771289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0.98</v>
      </c>
      <c r="P25" s="27">
        <f>G3</f>
        <v>50832.92307402227</v>
      </c>
      <c r="Q25" s="18">
        <f t="shared" ref="Q25:Q35" si="4">P25/$P$25</f>
        <v>1</v>
      </c>
      <c r="R25" s="27">
        <f t="shared" ref="R25:R35" si="5">P25*(1-O25)</f>
        <v>1016.6584614804464</v>
      </c>
      <c r="S25" s="6">
        <v>0</v>
      </c>
      <c r="T25" s="29">
        <f t="shared" ref="T25:T35" si="6">P25-R25-S25</f>
        <v>49816.264612541825</v>
      </c>
      <c r="U25" s="18">
        <f t="shared" ref="U25:U35" si="7">T25/$P$25</f>
        <v>0.98</v>
      </c>
      <c r="V25" s="33"/>
      <c r="W25" s="68">
        <v>0.375</v>
      </c>
      <c r="X25" s="67">
        <f t="shared" si="1"/>
        <v>2.1125000000000001E-2</v>
      </c>
      <c r="Y25" s="67">
        <f t="shared" si="2"/>
        <v>17.751479289940828</v>
      </c>
      <c r="Z25" s="67">
        <f t="shared" si="3"/>
        <v>28.988044293292045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0.98</v>
      </c>
      <c r="P26" s="27">
        <f>T25</f>
        <v>49816.264612541825</v>
      </c>
      <c r="Q26" s="18">
        <f t="shared" si="4"/>
        <v>0.98</v>
      </c>
      <c r="R26" s="27">
        <f t="shared" si="5"/>
        <v>996.32529225083738</v>
      </c>
      <c r="S26" s="6">
        <v>0</v>
      </c>
      <c r="T26" s="29">
        <f t="shared" si="6"/>
        <v>48819.939320290985</v>
      </c>
      <c r="U26" s="18">
        <f t="shared" si="7"/>
        <v>0.96039999999999992</v>
      </c>
      <c r="V26" s="33"/>
      <c r="W26" s="68">
        <v>0.4</v>
      </c>
      <c r="X26" s="67">
        <f t="shared" si="1"/>
        <v>2.128E-2</v>
      </c>
      <c r="Y26" s="67">
        <f t="shared" si="2"/>
        <v>18.796992481203009</v>
      </c>
      <c r="Z26" s="67">
        <f t="shared" si="3"/>
        <v>29.720654700830632</v>
      </c>
      <c r="AA26" s="33"/>
      <c r="AB26" s="33"/>
      <c r="AC26" s="33"/>
    </row>
    <row r="27" spans="1:29" x14ac:dyDescent="0.3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0.97</v>
      </c>
      <c r="P27" s="27">
        <f>T26</f>
        <v>48819.939320290985</v>
      </c>
      <c r="Q27" s="18">
        <f t="shared" si="4"/>
        <v>0.96039999999999992</v>
      </c>
      <c r="R27" s="27">
        <f t="shared" si="5"/>
        <v>1464.5981796087308</v>
      </c>
      <c r="S27" s="6">
        <v>0</v>
      </c>
      <c r="T27" s="29">
        <f t="shared" si="6"/>
        <v>47355.341140682256</v>
      </c>
      <c r="U27" s="18">
        <f t="shared" si="7"/>
        <v>0.93158799999999997</v>
      </c>
      <c r="V27" s="33"/>
      <c r="W27" s="68">
        <v>0.42499999999999999</v>
      </c>
      <c r="X27" s="67">
        <f t="shared" si="1"/>
        <v>2.1444999999999999E-2</v>
      </c>
      <c r="Y27" s="67">
        <f t="shared" si="2"/>
        <v>19.818139426439732</v>
      </c>
      <c r="Z27" s="67">
        <f t="shared" si="3"/>
        <v>30.399638168349959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850</v>
      </c>
      <c r="D28" s="5"/>
      <c r="E28" s="5">
        <v>1.0651321146979999E-3</v>
      </c>
      <c r="F28" s="5">
        <v>0.02</v>
      </c>
      <c r="G28" s="5">
        <v>0</v>
      </c>
      <c r="H28" s="5">
        <v>0.129</v>
      </c>
      <c r="I28" s="5">
        <v>0</v>
      </c>
      <c r="J28" s="72">
        <v>0.18218200000000001</v>
      </c>
      <c r="K28" s="26">
        <f>F28+G28*J28+H28*J28^2+I28</f>
        <v>2.4281546264996002E-2</v>
      </c>
      <c r="L28" s="25">
        <f>SQRT(2*Q28*$C$9/(E28*J28))/$S$9</f>
        <v>594.89944280012469</v>
      </c>
      <c r="M28" s="24">
        <f>J28/K28</f>
        <v>7.5028994451902546</v>
      </c>
      <c r="N28" s="19">
        <v>0.85</v>
      </c>
      <c r="O28" s="64">
        <f>EXP(-6076.12*C28*(N28/3600)/(1.68781*L28*M28))</f>
        <v>0.85055205996461425</v>
      </c>
      <c r="P28" s="27">
        <f t="shared" ref="P28:P35" si="8">T27</f>
        <v>47355.341140682256</v>
      </c>
      <c r="Q28" s="18">
        <f t="shared" si="4"/>
        <v>0.93158799999999997</v>
      </c>
      <c r="R28" s="27">
        <f t="shared" si="5"/>
        <v>7077.158183147918</v>
      </c>
      <c r="S28" s="6">
        <v>0</v>
      </c>
      <c r="T28" s="29">
        <f t="shared" si="6"/>
        <v>40278.182957534336</v>
      </c>
      <c r="U28" s="18">
        <f t="shared" si="7"/>
        <v>0.79236409243831496</v>
      </c>
      <c r="V28" s="33"/>
      <c r="W28" s="68">
        <v>0.45</v>
      </c>
      <c r="X28" s="67">
        <f t="shared" si="1"/>
        <v>2.162E-2</v>
      </c>
      <c r="Y28" s="67">
        <f t="shared" si="2"/>
        <v>20.814061054579092</v>
      </c>
      <c r="Z28" s="67">
        <f t="shared" si="3"/>
        <v>31.027770270579875</v>
      </c>
      <c r="AA28" s="33"/>
      <c r="AB28" s="33"/>
      <c r="AC28" s="33"/>
    </row>
    <row r="29" spans="1:29" x14ac:dyDescent="0.3">
      <c r="A29" s="1">
        <v>5</v>
      </c>
      <c r="B29" s="5" t="s">
        <v>79</v>
      </c>
      <c r="C29" s="5"/>
      <c r="D29" s="5">
        <v>30</v>
      </c>
      <c r="E29" s="5">
        <v>1.0651321146979999E-3</v>
      </c>
      <c r="F29" s="5">
        <v>0.02</v>
      </c>
      <c r="G29" s="5">
        <v>0</v>
      </c>
      <c r="H29" s="5">
        <v>0.129</v>
      </c>
      <c r="I29" s="5">
        <v>0</v>
      </c>
      <c r="J29" s="72">
        <v>0.31631599999999999</v>
      </c>
      <c r="K29" s="26">
        <f>F29+G29*J29+H29*J29^2+I29</f>
        <v>3.2907199729423998E-2</v>
      </c>
      <c r="L29" s="25">
        <f t="shared" ref="L29:L34" si="9">SQRT(2*Q29*$C$9/(E29*J29))/$S$9</f>
        <v>416.376456812198</v>
      </c>
      <c r="M29" s="24">
        <f>J29/K29</f>
        <v>9.6123645463872691</v>
      </c>
      <c r="N29" s="19">
        <v>0.75</v>
      </c>
      <c r="O29" s="64">
        <f>EXP(-(D29*60)*(N29/3600)/(M29))</f>
        <v>0.96173892464818822</v>
      </c>
      <c r="P29" s="27">
        <f t="shared" si="8"/>
        <v>40278.182957534336</v>
      </c>
      <c r="Q29" s="18">
        <f t="shared" si="4"/>
        <v>0.79236409243831496</v>
      </c>
      <c r="R29" s="27">
        <f t="shared" si="5"/>
        <v>1541.0865931722824</v>
      </c>
      <c r="S29" s="6">
        <v>0</v>
      </c>
      <c r="T29" s="29">
        <f t="shared" si="6"/>
        <v>38737.096364362056</v>
      </c>
      <c r="U29" s="18">
        <f t="shared" si="7"/>
        <v>0.76204739019146273</v>
      </c>
      <c r="V29" s="33"/>
      <c r="W29" s="68">
        <v>0.47499999999999998</v>
      </c>
      <c r="X29" s="67">
        <f t="shared" si="1"/>
        <v>2.1805000000000001E-2</v>
      </c>
      <c r="Y29" s="67">
        <f t="shared" si="2"/>
        <v>21.783994496675071</v>
      </c>
      <c r="Z29" s="67">
        <f t="shared" si="3"/>
        <v>31.607541279729926</v>
      </c>
      <c r="AA29" s="33"/>
      <c r="AB29" s="33"/>
      <c r="AC29" s="33"/>
    </row>
    <row r="30" spans="1:29" x14ac:dyDescent="0.3">
      <c r="A30" s="1">
        <v>6</v>
      </c>
      <c r="B30" s="5" t="s">
        <v>80</v>
      </c>
      <c r="C30" s="5"/>
      <c r="D30" s="5">
        <v>0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1-(1/Q30)*C10*N30*(D30/60)</f>
        <v>1</v>
      </c>
      <c r="P30" s="27">
        <f t="shared" si="8"/>
        <v>38737.096364362056</v>
      </c>
      <c r="Q30" s="18">
        <f t="shared" si="4"/>
        <v>0.76204739019146273</v>
      </c>
      <c r="R30" s="27">
        <f t="shared" si="5"/>
        <v>0</v>
      </c>
      <c r="S30" s="6">
        <v>0</v>
      </c>
      <c r="T30" s="29">
        <f t="shared" si="6"/>
        <v>38737.096364362056</v>
      </c>
      <c r="U30" s="18">
        <f t="shared" si="7"/>
        <v>0.76204739019146273</v>
      </c>
      <c r="V30" s="33"/>
      <c r="W30" s="68">
        <v>0.5</v>
      </c>
      <c r="X30" s="67">
        <f t="shared" si="1"/>
        <v>2.1999999999999999E-2</v>
      </c>
      <c r="Y30" s="67">
        <f t="shared" si="2"/>
        <v>22.72727272727273</v>
      </c>
      <c r="Z30" s="67">
        <f t="shared" si="3"/>
        <v>32.141217326661256</v>
      </c>
      <c r="AA30" s="33"/>
      <c r="AB30" s="33"/>
      <c r="AC30" s="33"/>
    </row>
    <row r="31" spans="1:29" x14ac:dyDescent="0.3">
      <c r="A31" s="1">
        <v>7</v>
      </c>
      <c r="B31" s="5" t="s">
        <v>81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38737.096364362056</v>
      </c>
      <c r="Q31" s="18">
        <f t="shared" si="4"/>
        <v>0.76204739019146273</v>
      </c>
      <c r="R31" s="27">
        <f t="shared" si="5"/>
        <v>0</v>
      </c>
      <c r="S31" s="6">
        <v>0</v>
      </c>
      <c r="T31" s="29">
        <f t="shared" si="6"/>
        <v>38737.096364362056</v>
      </c>
      <c r="U31" s="18">
        <f t="shared" si="7"/>
        <v>0.76204739019146273</v>
      </c>
      <c r="V31" s="33"/>
      <c r="W31" s="68">
        <v>0.52500000000000002</v>
      </c>
      <c r="X31" s="67">
        <f t="shared" si="1"/>
        <v>2.2204999999999999E-2</v>
      </c>
      <c r="Y31" s="67">
        <f t="shared" si="2"/>
        <v>23.643323575771223</v>
      </c>
      <c r="Z31" s="67">
        <f t="shared" si="3"/>
        <v>32.630886616053679</v>
      </c>
      <c r="AA31" s="33"/>
      <c r="AB31" s="33"/>
      <c r="AC31" s="33"/>
    </row>
    <row r="32" spans="1:29" x14ac:dyDescent="0.3">
      <c r="A32" s="1">
        <v>8</v>
      </c>
      <c r="B32" s="5" t="s">
        <v>82</v>
      </c>
      <c r="C32" s="5">
        <v>850</v>
      </c>
      <c r="D32" s="5"/>
      <c r="E32" s="5">
        <v>1.0651321146979999E-3</v>
      </c>
      <c r="F32" s="5">
        <v>0.02</v>
      </c>
      <c r="G32" s="5">
        <v>0</v>
      </c>
      <c r="H32" s="5">
        <v>0.129</v>
      </c>
      <c r="I32" s="5">
        <v>0</v>
      </c>
      <c r="J32" s="72">
        <v>0.18218200000000001</v>
      </c>
      <c r="K32" s="26">
        <f>F32+G32*J32+H32*J32^2+I32</f>
        <v>2.4281546264996002E-2</v>
      </c>
      <c r="L32" s="25">
        <f t="shared" si="9"/>
        <v>538.04996733530481</v>
      </c>
      <c r="M32" s="24">
        <f>J32/K32</f>
        <v>7.5028994451902546</v>
      </c>
      <c r="N32" s="19">
        <v>0.85</v>
      </c>
      <c r="O32" s="64">
        <f>EXP(-6076.12*C32*(N32/3600)/(1.68781*L32*M32))</f>
        <v>0.83612885909514401</v>
      </c>
      <c r="P32" s="27">
        <f t="shared" si="8"/>
        <v>38737.096364362056</v>
      </c>
      <c r="Q32" s="18">
        <f t="shared" si="4"/>
        <v>0.76204739019146273</v>
      </c>
      <c r="R32" s="27">
        <f t="shared" si="5"/>
        <v>6347.8921765693594</v>
      </c>
      <c r="S32" s="6">
        <v>0</v>
      </c>
      <c r="T32" s="29">
        <f t="shared" si="6"/>
        <v>32389.204187792697</v>
      </c>
      <c r="U32" s="18">
        <f t="shared" si="7"/>
        <v>0.63716981493721969</v>
      </c>
      <c r="V32" s="33"/>
      <c r="W32" s="68">
        <v>0.55000000000000004</v>
      </c>
      <c r="X32" s="67">
        <f t="shared" si="1"/>
        <v>2.2420000000000002E-2</v>
      </c>
      <c r="Y32" s="67">
        <f t="shared" si="2"/>
        <v>24.531668153434431</v>
      </c>
      <c r="Z32" s="67">
        <f t="shared" si="3"/>
        <v>33.078494590078776</v>
      </c>
      <c r="AA32" s="33"/>
      <c r="AB32" s="33"/>
      <c r="AC32" s="33"/>
    </row>
    <row r="33" spans="1:29" x14ac:dyDescent="0.3">
      <c r="A33" s="1">
        <v>9</v>
      </c>
      <c r="B33" s="5" t="s">
        <v>83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32389.204187792697</v>
      </c>
      <c r="Q33" s="18">
        <f t="shared" si="4"/>
        <v>0.63716981493721969</v>
      </c>
      <c r="R33" s="27">
        <f t="shared" si="5"/>
        <v>323.89204187792728</v>
      </c>
      <c r="S33" s="6">
        <v>0</v>
      </c>
      <c r="T33" s="29">
        <f t="shared" si="6"/>
        <v>32065.31214591477</v>
      </c>
      <c r="U33" s="18">
        <f t="shared" si="7"/>
        <v>0.63079811678784758</v>
      </c>
      <c r="V33" s="33"/>
      <c r="W33" s="68">
        <v>0.57499999999999996</v>
      </c>
      <c r="X33" s="67">
        <f t="shared" si="1"/>
        <v>2.2644999999999998E-2</v>
      </c>
      <c r="Y33" s="67">
        <f t="shared" si="2"/>
        <v>25.391918745860014</v>
      </c>
      <c r="Z33" s="67">
        <f t="shared" si="3"/>
        <v>33.485870806145066</v>
      </c>
      <c r="AA33" s="33"/>
      <c r="AB33" s="33"/>
      <c r="AC33" s="33"/>
    </row>
    <row r="34" spans="1:29" x14ac:dyDescent="0.3">
      <c r="A34" s="1">
        <v>10</v>
      </c>
      <c r="B34" s="5" t="s">
        <v>84</v>
      </c>
      <c r="C34" s="5"/>
      <c r="D34" s="5">
        <v>20</v>
      </c>
      <c r="E34" s="5">
        <v>2.3768959719029999E-3</v>
      </c>
      <c r="F34" s="5">
        <v>0.02</v>
      </c>
      <c r="G34" s="5">
        <v>0</v>
      </c>
      <c r="H34" s="5">
        <v>0.08</v>
      </c>
      <c r="I34" s="5">
        <v>0</v>
      </c>
      <c r="J34" s="72">
        <v>0.31631599999999999</v>
      </c>
      <c r="K34" s="26">
        <f>F34+G34*J34+H34*J34^2+I34</f>
        <v>2.8004464948479999E-2</v>
      </c>
      <c r="L34" s="25">
        <f t="shared" si="9"/>
        <v>248.69417795718817</v>
      </c>
      <c r="M34" s="24">
        <f>J34/K34</f>
        <v>11.295198839968149</v>
      </c>
      <c r="N34" s="19">
        <v>0.75</v>
      </c>
      <c r="O34" s="64">
        <f>EXP(-(D34*60)*(N34/3600)/(M34))</f>
        <v>0.97810984643886745</v>
      </c>
      <c r="P34" s="27">
        <f t="shared" si="8"/>
        <v>32065.31214591477</v>
      </c>
      <c r="Q34" s="18">
        <f t="shared" si="4"/>
        <v>0.63079811678784758</v>
      </c>
      <c r="R34" s="27">
        <f t="shared" si="5"/>
        <v>701.91460685972311</v>
      </c>
      <c r="S34" s="6">
        <v>0</v>
      </c>
      <c r="T34" s="29">
        <f t="shared" si="6"/>
        <v>31363.397539055048</v>
      </c>
      <c r="U34" s="18">
        <f t="shared" si="7"/>
        <v>0.61698984914528832</v>
      </c>
      <c r="V34" s="33"/>
      <c r="W34" s="68">
        <v>0.6</v>
      </c>
      <c r="X34" s="67">
        <f t="shared" si="1"/>
        <v>2.2880000000000001E-2</v>
      </c>
      <c r="Y34" s="67">
        <f t="shared" si="2"/>
        <v>26.223776223776223</v>
      </c>
      <c r="Z34" s="67">
        <f t="shared" si="3"/>
        <v>33.85474952978511</v>
      </c>
      <c r="AA34" s="34"/>
      <c r="AB34" s="34"/>
      <c r="AC34" s="34"/>
    </row>
    <row r="35" spans="1:29" x14ac:dyDescent="0.3">
      <c r="A35" s="1">
        <v>11</v>
      </c>
      <c r="B35" s="5" t="s">
        <v>85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31363.397539055048</v>
      </c>
      <c r="Q35" s="18">
        <f t="shared" si="4"/>
        <v>0.61698984914528832</v>
      </c>
      <c r="R35" s="27">
        <f t="shared" si="5"/>
        <v>156.81698769527537</v>
      </c>
      <c r="S35" s="6">
        <v>0</v>
      </c>
      <c r="T35" s="29">
        <f t="shared" si="6"/>
        <v>31206.580551359773</v>
      </c>
      <c r="U35" s="18">
        <f t="shared" si="7"/>
        <v>0.61390489989956187</v>
      </c>
      <c r="V35" s="34"/>
      <c r="W35" s="68">
        <v>0.625</v>
      </c>
      <c r="X35" s="67">
        <f t="shared" si="1"/>
        <v>2.3125E-2</v>
      </c>
      <c r="Y35" s="67">
        <f t="shared" si="2"/>
        <v>27.027027027027028</v>
      </c>
      <c r="Z35" s="67">
        <f t="shared" si="3"/>
        <v>34.186785515333831</v>
      </c>
    </row>
    <row r="36" spans="1:29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2.3380000000000001E-2</v>
      </c>
      <c r="Y36" s="67">
        <f t="shared" si="2"/>
        <v>27.801539777587681</v>
      </c>
      <c r="Z36" s="67">
        <f t="shared" si="3"/>
        <v>34.483566074844099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2.3644999999999999E-2</v>
      </c>
      <c r="Y37" s="67">
        <f t="shared" si="2"/>
        <v>28.547261577500532</v>
      </c>
      <c r="Z37" s="67">
        <f t="shared" si="3"/>
        <v>34.746620268883454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2.392E-2</v>
      </c>
      <c r="Y38" s="67">
        <f t="shared" si="2"/>
        <v>29.26421404682274</v>
      </c>
      <c r="Z38" s="67">
        <f t="shared" si="3"/>
        <v>34.977425858447972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2.4205000000000001E-2</v>
      </c>
      <c r="Y39" s="67">
        <f t="shared" si="2"/>
        <v>29.952489155133236</v>
      </c>
      <c r="Z39" s="67">
        <f t="shared" si="3"/>
        <v>35.177414513378224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2.4500000000000001E-2</v>
      </c>
      <c r="Y40" s="67">
        <f t="shared" si="2"/>
        <v>30.612244897959183</v>
      </c>
      <c r="Z40" s="67">
        <f t="shared" si="3"/>
        <v>35.347975664670962</v>
      </c>
    </row>
    <row r="41" spans="1:29" x14ac:dyDescent="0.3">
      <c r="W41" s="68">
        <v>0.77500000000000002</v>
      </c>
      <c r="X41" s="67">
        <f t="shared" si="1"/>
        <v>2.4805000000000001E-2</v>
      </c>
      <c r="Y41" s="67">
        <f t="shared" si="2"/>
        <v>31.243700866760733</v>
      </c>
      <c r="Z41" s="67">
        <f t="shared" si="3"/>
        <v>35.490459305904068</v>
      </c>
    </row>
    <row r="42" spans="1:29" x14ac:dyDescent="0.3">
      <c r="Q42" s="74" t="s">
        <v>86</v>
      </c>
      <c r="R42" s="75"/>
      <c r="S42" s="76"/>
      <c r="W42" s="68">
        <v>0.8</v>
      </c>
      <c r="X42" s="67">
        <f t="shared" si="1"/>
        <v>2.5120000000000003E-2</v>
      </c>
      <c r="Y42" s="67">
        <f t="shared" si="2"/>
        <v>31.847133757961782</v>
      </c>
      <c r="Z42" s="67">
        <f t="shared" si="3"/>
        <v>35.606177985665433</v>
      </c>
    </row>
    <row r="43" spans="1:29" x14ac:dyDescent="0.3">
      <c r="Q43" s="1" t="s">
        <v>87</v>
      </c>
      <c r="R43" s="32">
        <f>SUM(R25:R40)</f>
        <v>19626.342522662497</v>
      </c>
      <c r="S43" s="1" t="s">
        <v>7</v>
      </c>
      <c r="W43" s="68">
        <v>0.82499999999999996</v>
      </c>
      <c r="X43" s="67">
        <f t="shared" si="1"/>
        <v>2.5444999999999999E-2</v>
      </c>
      <c r="Y43" s="67">
        <f t="shared" si="2"/>
        <v>32.422872863037924</v>
      </c>
      <c r="Z43" s="67">
        <f t="shared" si="3"/>
        <v>35.696408183503536</v>
      </c>
    </row>
    <row r="44" spans="1:29" x14ac:dyDescent="0.3">
      <c r="Q44" s="1" t="s">
        <v>88</v>
      </c>
      <c r="R44" s="32">
        <f>R43*C21</f>
        <v>1177.5805513597497</v>
      </c>
      <c r="S44" s="1" t="s">
        <v>7</v>
      </c>
      <c r="W44" s="68">
        <v>0.85</v>
      </c>
      <c r="X44" s="67">
        <f t="shared" si="1"/>
        <v>2.5780000000000001E-2</v>
      </c>
      <c r="Y44" s="67">
        <f t="shared" si="2"/>
        <v>32.971295577967418</v>
      </c>
      <c r="Z44" s="67">
        <f t="shared" si="3"/>
        <v>35.76239122301353</v>
      </c>
    </row>
    <row r="45" spans="1:29" x14ac:dyDescent="0.3">
      <c r="Q45" s="1" t="s">
        <v>89</v>
      </c>
      <c r="R45" s="32">
        <f>R43+R44</f>
        <v>20803.923074022248</v>
      </c>
      <c r="S45" s="1" t="s">
        <v>7</v>
      </c>
    </row>
  </sheetData>
  <mergeCells count="12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8:Y44">
    <cfRule type="top10" dxfId="3" priority="2" rank="1"/>
  </conditionalFormatting>
  <conditionalFormatting sqref="Z8:Z44">
    <cfRule type="top10" dxfId="2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FA81-48BF-4AD2-A7E0-1EE3903FB05F}">
  <sheetPr codeName="Sheet3"/>
  <dimension ref="A1:AC46"/>
  <sheetViews>
    <sheetView topLeftCell="A13" zoomScale="115" zoomScaleNormal="115" workbookViewId="0">
      <pane xSplit="2" topLeftCell="C1" activePane="topRight" state="frozen"/>
      <selection pane="topRight" activeCell="L35" sqref="L35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83" t="s">
        <v>0</v>
      </c>
      <c r="N1" s="84"/>
      <c r="O1" s="84"/>
      <c r="P1" s="85"/>
      <c r="R1" s="73" t="s">
        <v>1</v>
      </c>
      <c r="S1" s="73" t="s">
        <v>2</v>
      </c>
    </row>
    <row r="2" spans="2:29" x14ac:dyDescent="0.3">
      <c r="B2" s="77" t="s">
        <v>3</v>
      </c>
      <c r="C2" s="77"/>
      <c r="D2" s="77"/>
      <c r="F2" s="82" t="s">
        <v>4</v>
      </c>
      <c r="G2" s="82"/>
      <c r="H2" s="82"/>
      <c r="J2" s="86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61009.1830114693</v>
      </c>
      <c r="H3" s="1" t="s">
        <v>7</v>
      </c>
      <c r="J3" s="86"/>
      <c r="M3" s="8" t="s">
        <v>13</v>
      </c>
      <c r="N3" s="20">
        <f>O3*0.4536</f>
        <v>27673.765414010191</v>
      </c>
      <c r="O3" s="20">
        <f>SUM(O4:O7)</f>
        <v>61009.183011486311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(O5+O6+O4+R46)</f>
        <v>61009.183011486311</v>
      </c>
      <c r="H4" s="1" t="s">
        <v>7</v>
      </c>
      <c r="J4" s="1">
        <f>C3*$G$3^C4</f>
        <v>0.5586174271121489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0.44811286843249215</v>
      </c>
      <c r="R4" s="22">
        <v>15000</v>
      </c>
      <c r="S4" s="22">
        <v>1.495443163997E-3</v>
      </c>
    </row>
    <row r="5" spans="2:29" x14ac:dyDescent="0.3">
      <c r="B5" s="77" t="s">
        <v>17</v>
      </c>
      <c r="C5" s="77"/>
      <c r="D5" s="77"/>
      <c r="F5" s="1" t="s">
        <v>18</v>
      </c>
      <c r="G5" s="65">
        <f>G3-G4</f>
        <v>-1.701118890196085E-8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7.1792470965811317E-2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4.9172925319048849E-3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82" t="s">
        <v>21</v>
      </c>
      <c r="G7" s="82"/>
      <c r="H7" s="82"/>
      <c r="M7" s="8" t="s">
        <v>22</v>
      </c>
      <c r="N7" s="20">
        <f t="shared" si="0"/>
        <v>13149.947014010193</v>
      </c>
      <c r="O7" s="20">
        <f>R46</f>
        <v>28990.183011486315</v>
      </c>
      <c r="P7" s="11">
        <f>O7/$O$3</f>
        <v>0.47517736806979172</v>
      </c>
    </row>
    <row r="8" spans="2:29" x14ac:dyDescent="0.3">
      <c r="B8" s="77" t="s">
        <v>23</v>
      </c>
      <c r="C8" s="77"/>
      <c r="D8" s="77"/>
      <c r="F8" s="1" t="s">
        <v>24</v>
      </c>
      <c r="G8" s="32">
        <f>G3-O4-O5-O6</f>
        <v>28990.1830114693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105</v>
      </c>
      <c r="D9" s="2" t="s">
        <v>28</v>
      </c>
      <c r="F9" s="1" t="s">
        <v>29</v>
      </c>
      <c r="G9" s="32">
        <f>R46</f>
        <v>28990.183011486315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0.87</v>
      </c>
      <c r="D10" s="2"/>
      <c r="F10" s="1" t="s">
        <v>39</v>
      </c>
      <c r="G10" s="32">
        <f>G8-G9</f>
        <v>-1.7014826880767941E-8</v>
      </c>
      <c r="H10" s="1" t="s">
        <v>7</v>
      </c>
      <c r="M10" s="8" t="s">
        <v>40</v>
      </c>
      <c r="N10" s="12">
        <f>O10/3.28^2</f>
        <v>54.008015894987331</v>
      </c>
      <c r="O10" s="21">
        <f>O3/C9</f>
        <v>581.03983820463156</v>
      </c>
      <c r="P10" s="10"/>
      <c r="W10" s="68">
        <v>0</v>
      </c>
      <c r="X10" s="67">
        <f>$C$12+$C$13*W10+$C$14*W10^2+$C$15</f>
        <v>0.02</v>
      </c>
      <c r="Y10" s="67">
        <f>W10/X10</f>
        <v>0</v>
      </c>
      <c r="Z10" s="67">
        <f>W10^(1/2)/X10</f>
        <v>0</v>
      </c>
    </row>
    <row r="11" spans="2:29" x14ac:dyDescent="0.3">
      <c r="B11" s="77" t="s">
        <v>41</v>
      </c>
      <c r="C11" s="77"/>
      <c r="D11" s="77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2.0005000000000002E-2</v>
      </c>
      <c r="Y11" s="67">
        <f t="shared" ref="Y11:Y44" si="2">W11/X11</f>
        <v>1.2496875781054735</v>
      </c>
      <c r="Z11" s="67">
        <f t="shared" ref="Z11:Z44" si="3">W11^(1/2)/X11</f>
        <v>7.9037182208657315</v>
      </c>
    </row>
    <row r="12" spans="2:29" x14ac:dyDescent="0.3">
      <c r="B12" s="2" t="s">
        <v>42</v>
      </c>
      <c r="C12" s="2">
        <v>0.02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2.002E-2</v>
      </c>
      <c r="Y12" s="67">
        <f t="shared" si="2"/>
        <v>2.4975024975024978</v>
      </c>
      <c r="Z12" s="67">
        <f t="shared" si="3"/>
        <v>11.169170716782165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236.10257320815768</v>
      </c>
      <c r="O13" s="20">
        <f>C10*O3</f>
        <v>53077.989219993091</v>
      </c>
      <c r="P13" s="13"/>
      <c r="V13" s="9"/>
      <c r="W13" s="68">
        <v>7.4999999999999997E-2</v>
      </c>
      <c r="X13" s="67">
        <f t="shared" si="1"/>
        <v>2.0045E-2</v>
      </c>
      <c r="Y13" s="67">
        <f t="shared" si="2"/>
        <v>3.7415814417560487</v>
      </c>
      <c r="Z13" s="67">
        <f t="shared" si="3"/>
        <v>13.662323709283264</v>
      </c>
    </row>
    <row r="14" spans="2:29" x14ac:dyDescent="0.3">
      <c r="B14" s="2" t="s">
        <v>48</v>
      </c>
      <c r="C14" s="2">
        <v>8.0000000000000002E-3</v>
      </c>
      <c r="D14" s="2"/>
      <c r="M14" s="14"/>
      <c r="N14" s="78" t="s">
        <v>49</v>
      </c>
      <c r="O14" s="78"/>
      <c r="P14" s="15">
        <f>AC35</f>
        <v>0</v>
      </c>
      <c r="W14" s="68">
        <v>0.1</v>
      </c>
      <c r="X14" s="67">
        <f t="shared" si="1"/>
        <v>2.0080000000000001E-2</v>
      </c>
      <c r="Y14" s="67">
        <f t="shared" si="2"/>
        <v>4.9800796812749004</v>
      </c>
      <c r="Z14" s="67">
        <f t="shared" si="3"/>
        <v>15.74839472195408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2.0125000000000001E-2</v>
      </c>
      <c r="Y15" s="67">
        <f t="shared" si="2"/>
        <v>6.2111801242236027</v>
      </c>
      <c r="Z15" s="67">
        <f t="shared" si="3"/>
        <v>17.56787034003845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2.018E-2</v>
      </c>
      <c r="Y16" s="67">
        <f t="shared" si="2"/>
        <v>7.4331020812685829</v>
      </c>
      <c r="Z16" s="67">
        <f t="shared" si="3"/>
        <v>19.192187047608609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2.0244999999999999E-2</v>
      </c>
      <c r="Y17" s="67">
        <f t="shared" si="2"/>
        <v>8.6441096567053588</v>
      </c>
      <c r="Z17" s="67">
        <f t="shared" si="3"/>
        <v>20.6633743278359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2.0320000000000001E-2</v>
      </c>
      <c r="Y18" s="67">
        <f t="shared" si="2"/>
        <v>9.8425196850393704</v>
      </c>
      <c r="Z18" s="67">
        <f t="shared" si="3"/>
        <v>22.008543085627849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2.0405E-2</v>
      </c>
      <c r="Y19" s="67">
        <f t="shared" si="2"/>
        <v>11.026709139916688</v>
      </c>
      <c r="Z19" s="67">
        <f t="shared" si="3"/>
        <v>23.246343985555349</v>
      </c>
      <c r="AA19" s="33"/>
      <c r="AB19" s="33"/>
      <c r="AC19" s="33"/>
    </row>
    <row r="20" spans="1:29" x14ac:dyDescent="0.3">
      <c r="A20" s="79" t="s">
        <v>51</v>
      </c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1"/>
      <c r="V20" s="33"/>
      <c r="W20" s="68">
        <v>0.25</v>
      </c>
      <c r="X20" s="67">
        <f t="shared" si="1"/>
        <v>2.0500000000000001E-2</v>
      </c>
      <c r="Y20" s="67">
        <f t="shared" si="2"/>
        <v>12.195121951219512</v>
      </c>
      <c r="Z20" s="67">
        <f t="shared" si="3"/>
        <v>24.390243902439025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82" t="s">
        <v>53</v>
      </c>
      <c r="F21" s="82"/>
      <c r="G21" s="82"/>
      <c r="H21" s="82"/>
      <c r="I21" s="82"/>
      <c r="J21" s="82"/>
      <c r="K21" s="82"/>
      <c r="L21" s="82"/>
      <c r="M21" s="82"/>
      <c r="N21" s="4">
        <f>R46/P25</f>
        <v>0.47517736806992422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2.0605000000000002E-2</v>
      </c>
      <c r="Y21" s="67">
        <f t="shared" si="2"/>
        <v>13.346275175928172</v>
      </c>
      <c r="Z21" s="67">
        <f t="shared" si="3"/>
        <v>25.450348172049296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2.0719999999999999E-2</v>
      </c>
      <c r="Y22" s="67">
        <f t="shared" si="2"/>
        <v>14.478764478764479</v>
      </c>
      <c r="Z22" s="67">
        <f t="shared" si="3"/>
        <v>26.434486366079444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2.0844999999999999E-2</v>
      </c>
      <c r="Y23" s="67">
        <f t="shared" si="2"/>
        <v>15.591268889421926</v>
      </c>
      <c r="Z23" s="67">
        <f t="shared" si="3"/>
        <v>27.348894821279398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2.0979999999999999E-2</v>
      </c>
      <c r="Y24" s="67">
        <f t="shared" si="2"/>
        <v>16.682554814108673</v>
      </c>
      <c r="Z24" s="67">
        <f t="shared" si="3"/>
        <v>28.198664361771289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0.98</v>
      </c>
      <c r="P25" s="27">
        <f>G3</f>
        <v>61009.1830114693</v>
      </c>
      <c r="Q25" s="18">
        <f t="shared" ref="Q25:Q36" si="4">P25/$P$25</f>
        <v>1</v>
      </c>
      <c r="R25" s="27">
        <f t="shared" ref="R25:R36" si="5">P25*(1-O25)</f>
        <v>1220.183660229387</v>
      </c>
      <c r="S25" s="6">
        <v>0</v>
      </c>
      <c r="T25" s="29">
        <f t="shared" ref="T25:T36" si="6">P25-R25-S25</f>
        <v>59788.999351239916</v>
      </c>
      <c r="U25" s="18">
        <f t="shared" ref="U25:U36" si="7">T25/$P$25</f>
        <v>0.98</v>
      </c>
      <c r="V25" s="33"/>
      <c r="W25" s="68">
        <v>0.375</v>
      </c>
      <c r="X25" s="67">
        <f t="shared" si="1"/>
        <v>2.1125000000000001E-2</v>
      </c>
      <c r="Y25" s="67">
        <f t="shared" si="2"/>
        <v>17.751479289940828</v>
      </c>
      <c r="Z25" s="67">
        <f t="shared" si="3"/>
        <v>28.988044293292045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0.98</v>
      </c>
      <c r="P26" s="27">
        <f>T25</f>
        <v>59788.999351239916</v>
      </c>
      <c r="Q26" s="18">
        <f t="shared" si="4"/>
        <v>0.98</v>
      </c>
      <c r="R26" s="27">
        <f t="shared" si="5"/>
        <v>1195.7799870247993</v>
      </c>
      <c r="S26" s="6">
        <v>0</v>
      </c>
      <c r="T26" s="29">
        <f t="shared" si="6"/>
        <v>58593.219364215118</v>
      </c>
      <c r="U26" s="18">
        <f t="shared" si="7"/>
        <v>0.96040000000000003</v>
      </c>
      <c r="V26" s="33"/>
      <c r="W26" s="68">
        <v>0.4</v>
      </c>
      <c r="X26" s="67">
        <f t="shared" si="1"/>
        <v>2.128E-2</v>
      </c>
      <c r="Y26" s="67">
        <f t="shared" si="2"/>
        <v>18.796992481203009</v>
      </c>
      <c r="Z26" s="67">
        <f t="shared" si="3"/>
        <v>29.720654700830632</v>
      </c>
      <c r="AA26" s="33"/>
      <c r="AB26" s="33"/>
      <c r="AC26" s="33"/>
    </row>
    <row r="27" spans="1:29" x14ac:dyDescent="0.3">
      <c r="A27" s="1">
        <v>3</v>
      </c>
      <c r="B27" s="5" t="s">
        <v>90</v>
      </c>
      <c r="C27" s="5"/>
      <c r="D27" s="5"/>
      <c r="E27" s="5"/>
      <c r="F27" s="5"/>
      <c r="G27" s="5"/>
      <c r="H27" s="5"/>
      <c r="I27" s="5"/>
      <c r="J27" s="72"/>
      <c r="K27" s="18"/>
      <c r="L27" s="17">
        <v>300</v>
      </c>
      <c r="M27" s="19"/>
      <c r="N27" s="19">
        <v>0.75</v>
      </c>
      <c r="O27" s="5">
        <v>0.97</v>
      </c>
      <c r="P27" s="27">
        <f>T26</f>
        <v>58593.219364215118</v>
      </c>
      <c r="Q27" s="18">
        <f t="shared" si="4"/>
        <v>0.96040000000000003</v>
      </c>
      <c r="R27" s="27">
        <f t="shared" si="5"/>
        <v>1757.7965809264551</v>
      </c>
      <c r="S27" s="6">
        <v>0</v>
      </c>
      <c r="T27" s="29">
        <f t="shared" si="6"/>
        <v>56835.422783288661</v>
      </c>
      <c r="U27" s="18">
        <f t="shared" si="7"/>
        <v>0.93158799999999997</v>
      </c>
      <c r="V27" s="33"/>
      <c r="W27" s="68">
        <v>0.42499999999999999</v>
      </c>
      <c r="X27" s="67">
        <f t="shared" si="1"/>
        <v>2.1444999999999999E-2</v>
      </c>
      <c r="Y27" s="67">
        <f t="shared" si="2"/>
        <v>19.818139426439732</v>
      </c>
      <c r="Z27" s="67">
        <f t="shared" si="3"/>
        <v>30.399638168349959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750</v>
      </c>
      <c r="D28" s="5"/>
      <c r="E28" s="5">
        <v>1.0651321146979999E-3</v>
      </c>
      <c r="F28" s="5">
        <v>0.02</v>
      </c>
      <c r="G28" s="5">
        <v>0</v>
      </c>
      <c r="H28" s="5">
        <v>0.129</v>
      </c>
      <c r="I28" s="5">
        <v>0</v>
      </c>
      <c r="J28" s="72">
        <v>0.18218200000000001</v>
      </c>
      <c r="K28" s="26">
        <f>F28+G28*J28+H28*J28^2+I28</f>
        <v>2.4281546264996002E-2</v>
      </c>
      <c r="L28" s="25">
        <f>SQRT(2*Q28*$C$9/(E28*J28))/$S$9</f>
        <v>594.89944280012469</v>
      </c>
      <c r="M28" s="24">
        <f>J28/K28</f>
        <v>7.5028994451902546</v>
      </c>
      <c r="N28" s="19">
        <v>0.85</v>
      </c>
      <c r="O28" s="64">
        <f>EXP(-6076.12*C28*(N28/3600)/(1.68781*L28*M28))</f>
        <v>0.86690475086448104</v>
      </c>
      <c r="P28" s="27">
        <f t="shared" ref="P28:P36" si="8">T27</f>
        <v>56835.422783288661</v>
      </c>
      <c r="Q28" s="18">
        <f t="shared" si="4"/>
        <v>0.93158799999999997</v>
      </c>
      <c r="R28" s="27">
        <f t="shared" si="5"/>
        <v>7564.5247550643544</v>
      </c>
      <c r="S28" s="6">
        <v>0</v>
      </c>
      <c r="T28" s="29">
        <f t="shared" si="6"/>
        <v>49270.898028224306</v>
      </c>
      <c r="U28" s="18">
        <f t="shared" si="7"/>
        <v>0.80759806304834014</v>
      </c>
      <c r="V28" s="33"/>
      <c r="W28" s="68">
        <v>0.45</v>
      </c>
      <c r="X28" s="67">
        <f t="shared" si="1"/>
        <v>2.162E-2</v>
      </c>
      <c r="Y28" s="67">
        <f t="shared" si="2"/>
        <v>20.814061054579092</v>
      </c>
      <c r="Z28" s="67">
        <f t="shared" si="3"/>
        <v>31.027770270579875</v>
      </c>
      <c r="AA28" s="33"/>
      <c r="AB28" s="33"/>
      <c r="AC28" s="33"/>
    </row>
    <row r="29" spans="1:29" x14ac:dyDescent="0.3">
      <c r="A29" s="1">
        <v>5</v>
      </c>
      <c r="B29" s="5" t="s">
        <v>91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49270.898028224306</v>
      </c>
      <c r="Q29" s="18">
        <f t="shared" si="4"/>
        <v>0.80759806304834014</v>
      </c>
      <c r="R29" s="27">
        <f t="shared" si="5"/>
        <v>492.70898028224349</v>
      </c>
      <c r="S29" s="6">
        <v>0</v>
      </c>
      <c r="T29" s="29">
        <f t="shared" si="6"/>
        <v>48778.189047942062</v>
      </c>
      <c r="U29" s="18">
        <f t="shared" si="7"/>
        <v>0.79952208241785672</v>
      </c>
      <c r="V29" s="33"/>
      <c r="W29" s="68">
        <v>0.47499999999999998</v>
      </c>
      <c r="X29" s="67">
        <f t="shared" si="1"/>
        <v>2.1805000000000001E-2</v>
      </c>
      <c r="Y29" s="67">
        <f t="shared" si="2"/>
        <v>21.783994496675071</v>
      </c>
      <c r="Z29" s="67">
        <f t="shared" si="3"/>
        <v>31.607541279729926</v>
      </c>
      <c r="AA29" s="33"/>
      <c r="AB29" s="33"/>
      <c r="AC29" s="33"/>
    </row>
    <row r="30" spans="1:29" x14ac:dyDescent="0.3">
      <c r="A30" s="1">
        <v>6</v>
      </c>
      <c r="B30" s="5" t="s">
        <v>80</v>
      </c>
      <c r="C30" s="5">
        <v>100</v>
      </c>
      <c r="D30" s="24">
        <f>C30/L30*60</f>
        <v>10</v>
      </c>
      <c r="E30" s="5"/>
      <c r="F30" s="5"/>
      <c r="G30" s="5"/>
      <c r="H30" s="5"/>
      <c r="I30" s="5"/>
      <c r="J30" s="72"/>
      <c r="K30" s="19"/>
      <c r="L30" s="25">
        <v>600</v>
      </c>
      <c r="M30" s="19"/>
      <c r="N30" s="19">
        <v>0.85</v>
      </c>
      <c r="O30" s="64">
        <f>1-(1/Q30)*C10*N30*(D30/60)</f>
        <v>0.84584540851295031</v>
      </c>
      <c r="P30" s="27">
        <f t="shared" si="8"/>
        <v>48778.189047942062</v>
      </c>
      <c r="Q30" s="18">
        <f t="shared" si="4"/>
        <v>0.79952208241785672</v>
      </c>
      <c r="R30" s="27">
        <f t="shared" si="5"/>
        <v>7519.3818061635893</v>
      </c>
      <c r="S30" s="6">
        <v>0</v>
      </c>
      <c r="T30" s="29">
        <f t="shared" si="6"/>
        <v>41258.807241778472</v>
      </c>
      <c r="U30" s="18">
        <f t="shared" si="7"/>
        <v>0.67627208241785675</v>
      </c>
      <c r="V30" s="33"/>
      <c r="W30" s="68">
        <v>0.5</v>
      </c>
      <c r="X30" s="67">
        <f t="shared" si="1"/>
        <v>2.1999999999999999E-2</v>
      </c>
      <c r="Y30" s="67">
        <f t="shared" si="2"/>
        <v>22.72727272727273</v>
      </c>
      <c r="Z30" s="67">
        <f t="shared" si="3"/>
        <v>32.141217326661256</v>
      </c>
      <c r="AA30" s="33"/>
      <c r="AB30" s="33"/>
      <c r="AC30" s="33"/>
    </row>
    <row r="31" spans="1:29" x14ac:dyDescent="0.3">
      <c r="A31" s="1">
        <v>7</v>
      </c>
      <c r="B31" s="5" t="s">
        <v>81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41258.807241778472</v>
      </c>
      <c r="Q31" s="18">
        <f t="shared" si="4"/>
        <v>0.67627208241785675</v>
      </c>
      <c r="R31" s="27">
        <f t="shared" si="5"/>
        <v>0</v>
      </c>
      <c r="S31" s="5">
        <v>4380</v>
      </c>
      <c r="T31" s="29">
        <f t="shared" si="6"/>
        <v>36878.807241778472</v>
      </c>
      <c r="U31" s="18">
        <f t="shared" si="7"/>
        <v>0.60447961145202544</v>
      </c>
      <c r="V31" s="33"/>
      <c r="W31" s="68">
        <v>0.52500000000000002</v>
      </c>
      <c r="X31" s="67">
        <f t="shared" si="1"/>
        <v>2.2204999999999999E-2</v>
      </c>
      <c r="Y31" s="67">
        <f t="shared" si="2"/>
        <v>23.643323575771223</v>
      </c>
      <c r="Z31" s="67">
        <f t="shared" si="3"/>
        <v>32.630886616053679</v>
      </c>
      <c r="AA31" s="33"/>
      <c r="AB31" s="33"/>
      <c r="AC31" s="33"/>
    </row>
    <row r="32" spans="1:29" x14ac:dyDescent="0.3">
      <c r="A32" s="1">
        <v>8</v>
      </c>
      <c r="B32" s="5" t="s">
        <v>90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0.97</v>
      </c>
      <c r="P32" s="27">
        <f t="shared" si="8"/>
        <v>36878.807241778472</v>
      </c>
      <c r="Q32" s="18">
        <f t="shared" si="4"/>
        <v>0.60447961145202544</v>
      </c>
      <c r="R32" s="27">
        <f t="shared" si="5"/>
        <v>1106.364217253355</v>
      </c>
      <c r="S32" s="6">
        <v>0</v>
      </c>
      <c r="T32" s="29">
        <f t="shared" si="6"/>
        <v>35772.443024525113</v>
      </c>
      <c r="U32" s="18">
        <f t="shared" si="7"/>
        <v>0.5863452231084646</v>
      </c>
      <c r="V32" s="33"/>
      <c r="W32" s="68">
        <v>0.55000000000000004</v>
      </c>
      <c r="X32" s="67">
        <f t="shared" si="1"/>
        <v>2.2420000000000002E-2</v>
      </c>
      <c r="Y32" s="67">
        <f t="shared" si="2"/>
        <v>24.531668153434431</v>
      </c>
      <c r="Z32" s="67">
        <f t="shared" si="3"/>
        <v>33.078494590078776</v>
      </c>
      <c r="AA32" s="33"/>
      <c r="AB32" s="33"/>
      <c r="AC32" s="33"/>
    </row>
    <row r="33" spans="1:29" x14ac:dyDescent="0.3">
      <c r="A33" s="1">
        <v>9</v>
      </c>
      <c r="B33" s="5" t="s">
        <v>82</v>
      </c>
      <c r="C33" s="5">
        <v>750</v>
      </c>
      <c r="D33" s="5"/>
      <c r="E33" s="5">
        <v>1.0651321146979999E-3</v>
      </c>
      <c r="F33" s="5">
        <v>0.02</v>
      </c>
      <c r="G33" s="5">
        <v>0</v>
      </c>
      <c r="H33" s="5">
        <v>0.129</v>
      </c>
      <c r="I33" s="5">
        <v>0</v>
      </c>
      <c r="J33" s="72">
        <v>0.18218200000000001</v>
      </c>
      <c r="K33" s="26">
        <f>F33+G33*J33+H33*J33^2+I33</f>
        <v>2.4281546264996002E-2</v>
      </c>
      <c r="L33" s="25">
        <f>SQRT(2*Q33*$C$9/(E33*J33))/$S$9</f>
        <v>479.20622154161799</v>
      </c>
      <c r="M33" s="24">
        <f>J33/K33</f>
        <v>7.5028994451902546</v>
      </c>
      <c r="N33" s="19">
        <v>0.75</v>
      </c>
      <c r="O33" s="64">
        <f>EXP(-6076.12*C33*(N33/3600)/(1.68781*L33*M33))</f>
        <v>0.8551756088693947</v>
      </c>
      <c r="P33" s="27">
        <f>T31</f>
        <v>36878.807241778472</v>
      </c>
      <c r="Q33" s="18">
        <f t="shared" si="4"/>
        <v>0.60447961145202544</v>
      </c>
      <c r="R33" s="27">
        <f t="shared" si="5"/>
        <v>5340.9508044135246</v>
      </c>
      <c r="S33" s="6">
        <v>0</v>
      </c>
      <c r="T33" s="29">
        <f t="shared" si="6"/>
        <v>31537.856437364946</v>
      </c>
      <c r="U33" s="18">
        <f t="shared" si="7"/>
        <v>0.51693621977262094</v>
      </c>
      <c r="V33" s="33"/>
      <c r="W33" s="68">
        <v>0.57499999999999996</v>
      </c>
      <c r="X33" s="67">
        <f t="shared" si="1"/>
        <v>2.2644999999999998E-2</v>
      </c>
      <c r="Y33" s="67">
        <f t="shared" si="2"/>
        <v>25.391918745860014</v>
      </c>
      <c r="Z33" s="67">
        <f t="shared" si="3"/>
        <v>33.485870806145066</v>
      </c>
      <c r="AA33" s="33"/>
      <c r="AB33" s="33"/>
      <c r="AC33" s="33"/>
    </row>
    <row r="34" spans="1:29" x14ac:dyDescent="0.3">
      <c r="A34" s="1">
        <v>10</v>
      </c>
      <c r="B34" s="5" t="s">
        <v>83</v>
      </c>
      <c r="C34" s="5"/>
      <c r="D34" s="5"/>
      <c r="E34" s="5"/>
      <c r="F34" s="5"/>
      <c r="G34" s="5"/>
      <c r="H34" s="5"/>
      <c r="I34" s="5"/>
      <c r="J34" s="72"/>
      <c r="K34" s="18"/>
      <c r="L34" s="17"/>
      <c r="M34" s="19"/>
      <c r="N34" s="19">
        <v>0.75</v>
      </c>
      <c r="O34" s="5">
        <v>0.99</v>
      </c>
      <c r="P34" s="27">
        <f t="shared" si="8"/>
        <v>31537.856437364946</v>
      </c>
      <c r="Q34" s="18">
        <f t="shared" si="4"/>
        <v>0.51693621977262094</v>
      </c>
      <c r="R34" s="27">
        <f t="shared" si="5"/>
        <v>315.37856437364974</v>
      </c>
      <c r="S34" s="6">
        <v>0</v>
      </c>
      <c r="T34" s="29">
        <f t="shared" si="6"/>
        <v>31222.477872991298</v>
      </c>
      <c r="U34" s="18">
        <f t="shared" si="7"/>
        <v>0.51176685757489471</v>
      </c>
      <c r="V34" s="33"/>
      <c r="W34" s="68">
        <v>0.6</v>
      </c>
      <c r="X34" s="67">
        <f t="shared" si="1"/>
        <v>2.2880000000000001E-2</v>
      </c>
      <c r="Y34" s="67">
        <f t="shared" si="2"/>
        <v>26.223776223776223</v>
      </c>
      <c r="Z34" s="67">
        <f t="shared" si="3"/>
        <v>33.85474952978511</v>
      </c>
      <c r="AA34" s="33"/>
      <c r="AB34" s="33"/>
      <c r="AC34" s="33"/>
    </row>
    <row r="35" spans="1:29" x14ac:dyDescent="0.3">
      <c r="A35" s="1">
        <v>11</v>
      </c>
      <c r="B35" s="5" t="s">
        <v>84</v>
      </c>
      <c r="C35" s="5"/>
      <c r="D35" s="5">
        <v>20</v>
      </c>
      <c r="E35" s="5">
        <v>2.3768959719029999E-3</v>
      </c>
      <c r="F35" s="5">
        <v>0.02</v>
      </c>
      <c r="G35" s="5">
        <v>0</v>
      </c>
      <c r="H35" s="5">
        <v>0.08</v>
      </c>
      <c r="I35" s="5">
        <v>0</v>
      </c>
      <c r="J35" s="72">
        <v>0.31631599999999999</v>
      </c>
      <c r="K35" s="26">
        <f>F35+G35*J35+H35*J35^2+I35</f>
        <v>2.8004464948479999E-2</v>
      </c>
      <c r="L35" s="25">
        <f>SQRT(2*Q35*$C$9/(E35*J35))/$S$9</f>
        <v>224.00437621198495</v>
      </c>
      <c r="M35" s="24">
        <f>J35/K35</f>
        <v>11.295198839968149</v>
      </c>
      <c r="N35" s="19">
        <v>0.75</v>
      </c>
      <c r="O35" s="64">
        <f>EXP(-(D35*60)*(N35/3600)/(M35))</f>
        <v>0.97810984643886745</v>
      </c>
      <c r="P35" s="27">
        <f t="shared" si="8"/>
        <v>31222.477872991298</v>
      </c>
      <c r="Q35" s="18">
        <f t="shared" si="4"/>
        <v>0.51176685757489471</v>
      </c>
      <c r="R35" s="27">
        <f t="shared" si="5"/>
        <v>683.46483519884282</v>
      </c>
      <c r="S35" s="6">
        <v>0</v>
      </c>
      <c r="T35" s="29">
        <f t="shared" si="6"/>
        <v>30539.013037792454</v>
      </c>
      <c r="U35" s="18">
        <f t="shared" si="7"/>
        <v>0.50056420247508204</v>
      </c>
      <c r="V35" s="34"/>
      <c r="W35" s="68">
        <v>0.625</v>
      </c>
      <c r="X35" s="67">
        <f t="shared" si="1"/>
        <v>2.3125E-2</v>
      </c>
      <c r="Y35" s="67">
        <f t="shared" si="2"/>
        <v>27.027027027027028</v>
      </c>
      <c r="Z35" s="67">
        <f t="shared" si="3"/>
        <v>34.186785515333831</v>
      </c>
      <c r="AA35" s="34"/>
      <c r="AB35" s="34"/>
      <c r="AC35" s="34"/>
    </row>
    <row r="36" spans="1:29" x14ac:dyDescent="0.3">
      <c r="A36" s="66">
        <v>12</v>
      </c>
      <c r="B36" s="5" t="s">
        <v>85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30539.013037792454</v>
      </c>
      <c r="Q36" s="18">
        <f t="shared" si="4"/>
        <v>0.50056420247508204</v>
      </c>
      <c r="R36" s="27">
        <f t="shared" si="5"/>
        <v>152.69506518896242</v>
      </c>
      <c r="S36" s="6">
        <v>0</v>
      </c>
      <c r="T36" s="29">
        <f t="shared" si="6"/>
        <v>30386.31797260349</v>
      </c>
      <c r="U36" s="18">
        <f t="shared" si="7"/>
        <v>0.49806138146270662</v>
      </c>
      <c r="W36" s="68">
        <v>0.65</v>
      </c>
      <c r="X36" s="67">
        <f t="shared" si="1"/>
        <v>2.3380000000000001E-2</v>
      </c>
      <c r="Y36" s="67">
        <f t="shared" si="2"/>
        <v>27.801539777587681</v>
      </c>
      <c r="Z36" s="67">
        <f t="shared" si="3"/>
        <v>34.483566074844099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2.3644999999999999E-2</v>
      </c>
      <c r="Y37" s="67">
        <f t="shared" si="2"/>
        <v>28.547261577500532</v>
      </c>
      <c r="Z37" s="67">
        <f t="shared" si="3"/>
        <v>34.746620268883454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1"/>
        <v>2.392E-2</v>
      </c>
      <c r="Y38" s="67">
        <f t="shared" si="2"/>
        <v>29.26421404682274</v>
      </c>
      <c r="Z38" s="67">
        <f t="shared" si="3"/>
        <v>34.977425858447972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2.4205000000000001E-2</v>
      </c>
      <c r="Y39" s="67">
        <f t="shared" si="2"/>
        <v>29.952489155133236</v>
      </c>
      <c r="Z39" s="67">
        <f t="shared" si="3"/>
        <v>35.177414513378224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2.4500000000000001E-2</v>
      </c>
      <c r="Y40" s="67">
        <f t="shared" si="2"/>
        <v>30.612244897959183</v>
      </c>
      <c r="Z40" s="67">
        <f t="shared" si="3"/>
        <v>35.347975664670962</v>
      </c>
    </row>
    <row r="41" spans="1:29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1"/>
        <v>2.4805000000000001E-2</v>
      </c>
      <c r="Y41" s="67">
        <f t="shared" si="2"/>
        <v>31.243700866760733</v>
      </c>
      <c r="Z41" s="67">
        <f t="shared" si="3"/>
        <v>35.490459305904068</v>
      </c>
    </row>
    <row r="42" spans="1:29" x14ac:dyDescent="0.3">
      <c r="W42" s="68">
        <v>0.8</v>
      </c>
      <c r="X42" s="67">
        <f t="shared" si="1"/>
        <v>2.5120000000000003E-2</v>
      </c>
      <c r="Y42" s="67">
        <f t="shared" si="2"/>
        <v>31.847133757961782</v>
      </c>
      <c r="Z42" s="67">
        <f t="shared" si="3"/>
        <v>35.606177985665433</v>
      </c>
    </row>
    <row r="43" spans="1:29" x14ac:dyDescent="0.3">
      <c r="Q43" s="74" t="s">
        <v>86</v>
      </c>
      <c r="R43" s="75"/>
      <c r="S43" s="76"/>
      <c r="W43" s="68">
        <v>0.82499999999999996</v>
      </c>
      <c r="X43" s="67">
        <f t="shared" si="1"/>
        <v>2.5444999999999999E-2</v>
      </c>
      <c r="Y43" s="67">
        <f t="shared" si="2"/>
        <v>32.422872863037924</v>
      </c>
      <c r="Z43" s="67">
        <f t="shared" si="3"/>
        <v>35.696408183503536</v>
      </c>
    </row>
    <row r="44" spans="1:29" x14ac:dyDescent="0.3">
      <c r="Q44" s="1" t="s">
        <v>87</v>
      </c>
      <c r="R44" s="32">
        <f>SUM(R25:R41)</f>
        <v>27349.229256119164</v>
      </c>
      <c r="S44" s="1" t="s">
        <v>7</v>
      </c>
      <c r="W44" s="68">
        <v>0.85</v>
      </c>
      <c r="X44" s="67">
        <f t="shared" si="1"/>
        <v>2.5780000000000001E-2</v>
      </c>
      <c r="Y44" s="67">
        <f t="shared" si="2"/>
        <v>32.971295577967418</v>
      </c>
      <c r="Z44" s="67">
        <f t="shared" si="3"/>
        <v>35.76239122301353</v>
      </c>
    </row>
    <row r="45" spans="1:29" x14ac:dyDescent="0.3">
      <c r="Q45" s="1" t="s">
        <v>88</v>
      </c>
      <c r="R45" s="32">
        <f>R44*C21</f>
        <v>1640.9537553671498</v>
      </c>
      <c r="S45" s="1" t="s">
        <v>7</v>
      </c>
    </row>
    <row r="46" spans="1:29" x14ac:dyDescent="0.3">
      <c r="Q46" s="1" t="s">
        <v>89</v>
      </c>
      <c r="R46" s="32">
        <f>R44+R45</f>
        <v>28990.183011486315</v>
      </c>
      <c r="S46" s="1" t="s">
        <v>7</v>
      </c>
    </row>
  </sheetData>
  <mergeCells count="12">
    <mergeCell ref="Q43:S43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1:Y1048576">
    <cfRule type="top10" dxfId="1" priority="2" rank="1"/>
  </conditionalFormatting>
  <conditionalFormatting sqref="Z1:Z1048576">
    <cfRule type="top10" dxfId="0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2C03-07BE-46F1-BA81-CE83ADAFBD2E}">
  <sheetPr codeName="Sheet6"/>
  <dimension ref="A1:AC50"/>
  <sheetViews>
    <sheetView tabSelected="1" zoomScale="115" zoomScaleNormal="115" workbookViewId="0">
      <pane xSplit="2" topLeftCell="C1" activePane="topRight" state="frozen"/>
      <selection pane="topRight" activeCell="I15" sqref="I15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83" t="s">
        <v>0</v>
      </c>
      <c r="N1" s="84"/>
      <c r="O1" s="84"/>
      <c r="P1" s="85"/>
      <c r="R1" s="73" t="s">
        <v>1</v>
      </c>
      <c r="S1" s="73" t="s">
        <v>2</v>
      </c>
    </row>
    <row r="2" spans="2:29" x14ac:dyDescent="0.3">
      <c r="B2" s="77" t="s">
        <v>3</v>
      </c>
      <c r="C2" s="77"/>
      <c r="D2" s="77"/>
      <c r="F2" s="82" t="s">
        <v>4</v>
      </c>
      <c r="G2" s="82"/>
      <c r="H2" s="82"/>
      <c r="J2" s="86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83982.298884364383</v>
      </c>
      <c r="H3" s="1" t="s">
        <v>7</v>
      </c>
      <c r="J3" s="86"/>
      <c r="M3" s="8" t="s">
        <v>13</v>
      </c>
      <c r="N3" s="20">
        <f>O3*0.4536</f>
        <v>38094.370776221214</v>
      </c>
      <c r="O3" s="20">
        <f>SUM(O4:O7)</f>
        <v>83982.298889376572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(O5+O6+O4+R46)</f>
        <v>83982.298889376572</v>
      </c>
      <c r="H4" s="1" t="s">
        <v>7</v>
      </c>
      <c r="J4" s="1">
        <f>C3*$G$3^C4</f>
        <v>0.5358848123827239</v>
      </c>
      <c r="M4" s="8" t="s">
        <v>16</v>
      </c>
      <c r="N4" s="20">
        <f t="shared" ref="N4:N7" si="0">O4*0.4536</f>
        <v>20414.194735034875</v>
      </c>
      <c r="O4" s="20">
        <f>J4*G3</f>
        <v>45004.838481117447</v>
      </c>
      <c r="P4" s="11">
        <f>O4/$O$3</f>
        <v>0.53588481235074148</v>
      </c>
      <c r="R4" s="22">
        <v>15000</v>
      </c>
      <c r="S4" s="22">
        <v>1.495443163997E-3</v>
      </c>
    </row>
    <row r="5" spans="2:29" x14ac:dyDescent="0.3">
      <c r="B5" s="77" t="s">
        <v>17</v>
      </c>
      <c r="C5" s="77"/>
      <c r="D5" s="77"/>
      <c r="F5" s="1" t="s">
        <v>18</v>
      </c>
      <c r="G5" s="65">
        <f>G3-G4</f>
        <v>-5.0121889216825366E-6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5.2153847393120747E-2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3.5721813282959419E-3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82" t="s">
        <v>21</v>
      </c>
      <c r="G7" s="82"/>
      <c r="H7" s="82"/>
      <c r="M7" s="8" t="s">
        <v>22</v>
      </c>
      <c r="N7" s="20">
        <f t="shared" si="0"/>
        <v>15557.328041186343</v>
      </c>
      <c r="O7" s="20">
        <f>R46</f>
        <v>34297.460408259132</v>
      </c>
      <c r="P7" s="11">
        <f>O7/$O$3</f>
        <v>0.40838915892784194</v>
      </c>
    </row>
    <row r="8" spans="2:29" x14ac:dyDescent="0.3">
      <c r="B8" s="77" t="s">
        <v>23</v>
      </c>
      <c r="C8" s="77"/>
      <c r="D8" s="77"/>
      <c r="F8" s="1" t="s">
        <v>24</v>
      </c>
      <c r="G8" s="32">
        <f>G3-O4-O5-O6</f>
        <v>34297.460403246936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115</v>
      </c>
      <c r="D9" s="2" t="s">
        <v>28</v>
      </c>
      <c r="F9" s="1" t="s">
        <v>29</v>
      </c>
      <c r="G9" s="32">
        <f>R46</f>
        <v>34297.460408259132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0.75</v>
      </c>
      <c r="D10" s="2"/>
      <c r="F10" s="1" t="s">
        <v>39</v>
      </c>
      <c r="G10" s="32">
        <f>G8-G9</f>
        <v>-5.0121961976401508E-6</v>
      </c>
      <c r="H10" s="1" t="s">
        <v>7</v>
      </c>
      <c r="M10" s="8" t="s">
        <v>40</v>
      </c>
      <c r="N10" s="12">
        <f>O10/3.28^2</f>
        <v>67.880062082430698</v>
      </c>
      <c r="O10" s="21">
        <f>O3/C9</f>
        <v>730.28085990762236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">
      <c r="B11" s="77" t="s">
        <v>41</v>
      </c>
      <c r="C11" s="77"/>
      <c r="D11" s="77"/>
      <c r="M11" s="8"/>
      <c r="N11" s="9"/>
      <c r="O11" s="9"/>
      <c r="P11" s="10"/>
      <c r="W11" s="68">
        <v>2.5000000000000001E-2</v>
      </c>
      <c r="X11" s="67">
        <f>$C$12+$C$13*W11+$C$14*W11^2+$C$15</f>
        <v>2.5080625000000002E-2</v>
      </c>
      <c r="Y11" s="67">
        <f t="shared" ref="Y11:Y50" si="1">W11/X11</f>
        <v>0.99678536719080957</v>
      </c>
      <c r="Z11" s="67">
        <f t="shared" ref="Z11:Z50" si="2">W11^(1/2)/X11</f>
        <v>6.3042241973004645</v>
      </c>
    </row>
    <row r="12" spans="2:29" x14ac:dyDescent="0.3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ref="X12:X50" si="3">$C$12+$C$13*W12+$C$14*W12^2+$C$15</f>
        <v>2.5322500000000001E-2</v>
      </c>
      <c r="Y12" s="67">
        <f t="shared" si="1"/>
        <v>1.9745285813012143</v>
      </c>
      <c r="Z12" s="67">
        <f>W12^(1/2)/X12</f>
        <v>8.830360262611471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280.17880617427699</v>
      </c>
      <c r="O13" s="20">
        <f>C10*O3</f>
        <v>62986.724167032429</v>
      </c>
      <c r="P13" s="13"/>
      <c r="V13" s="9"/>
      <c r="W13" s="68">
        <v>7.4999999999999997E-2</v>
      </c>
      <c r="X13" s="67">
        <f t="shared" si="3"/>
        <v>2.5725625000000002E-2</v>
      </c>
      <c r="Y13" s="67">
        <f t="shared" si="1"/>
        <v>2.9153810645999849</v>
      </c>
      <c r="Z13" s="67">
        <f t="shared" si="2"/>
        <v>10.645466485365585</v>
      </c>
    </row>
    <row r="14" spans="2:29" x14ac:dyDescent="0.3">
      <c r="B14" s="2" t="s">
        <v>48</v>
      </c>
      <c r="C14" s="2">
        <v>0.129</v>
      </c>
      <c r="D14" s="2"/>
      <c r="M14" s="14"/>
      <c r="N14" s="78" t="s">
        <v>49</v>
      </c>
      <c r="O14" s="78"/>
      <c r="P14" s="15">
        <f>AC35</f>
        <v>0</v>
      </c>
      <c r="W14" s="68">
        <v>0.1</v>
      </c>
      <c r="X14" s="67">
        <f t="shared" si="3"/>
        <v>2.6290000000000001E-2</v>
      </c>
      <c r="Y14" s="67">
        <f t="shared" si="1"/>
        <v>3.8037276531000379</v>
      </c>
      <c r="Z14" s="67">
        <f t="shared" si="2"/>
        <v>12.028442982762948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3"/>
        <v>2.7015625000000001E-2</v>
      </c>
      <c r="Y15" s="67">
        <f t="shared" si="1"/>
        <v>4.626951995373048</v>
      </c>
      <c r="Z15" s="67">
        <f t="shared" si="2"/>
        <v>13.086996528611637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3"/>
        <v>2.79025E-2</v>
      </c>
      <c r="Y16" s="67">
        <f t="shared" si="1"/>
        <v>5.3758623779231245</v>
      </c>
      <c r="Z16" s="67">
        <f t="shared" si="2"/>
        <v>13.880416974132844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3"/>
        <v>2.8950625000000001E-2</v>
      </c>
      <c r="Y17" s="67">
        <f t="shared" si="1"/>
        <v>6.0447745083223587</v>
      </c>
      <c r="Z17" s="67">
        <f t="shared" si="2"/>
        <v>14.449774858644252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3"/>
        <v>3.0160000000000003E-2</v>
      </c>
      <c r="Y18" s="67">
        <f t="shared" si="1"/>
        <v>6.6312997347480103</v>
      </c>
      <c r="Z18" s="67">
        <f t="shared" si="2"/>
        <v>14.828036986072874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3"/>
        <v>3.1530625E-2</v>
      </c>
      <c r="Y19" s="67">
        <f t="shared" si="1"/>
        <v>7.1359194433982838</v>
      </c>
      <c r="Z19" s="67">
        <f t="shared" si="2"/>
        <v>15.043839093746378</v>
      </c>
      <c r="AA19" s="33"/>
      <c r="AB19" s="33"/>
      <c r="AC19" s="33"/>
    </row>
    <row r="20" spans="1:29" x14ac:dyDescent="0.3">
      <c r="A20" s="79" t="s">
        <v>51</v>
      </c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1"/>
      <c r="V20" s="33"/>
      <c r="W20" s="68">
        <v>0.25</v>
      </c>
      <c r="X20" s="67">
        <f t="shared" si="3"/>
        <v>3.3062500000000002E-2</v>
      </c>
      <c r="Y20" s="67">
        <f t="shared" si="1"/>
        <v>7.5614366729678633</v>
      </c>
      <c r="Z20" s="67">
        <f t="shared" si="2"/>
        <v>15.122873345935727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82" t="s">
        <v>53</v>
      </c>
      <c r="F21" s="82"/>
      <c r="G21" s="82"/>
      <c r="H21" s="82"/>
      <c r="I21" s="82"/>
      <c r="J21" s="82"/>
      <c r="K21" s="82"/>
      <c r="L21" s="82"/>
      <c r="M21" s="82"/>
      <c r="N21" s="4">
        <f>R46/P25</f>
        <v>0.40838915895221523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3"/>
        <v>3.4755625000000005E-2</v>
      </c>
      <c r="Y21" s="67">
        <f t="shared" si="1"/>
        <v>7.9123882824722616</v>
      </c>
      <c r="Z21" s="67">
        <f t="shared" si="2"/>
        <v>15.088332437844974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3"/>
        <v>3.6610000000000004E-2</v>
      </c>
      <c r="Y22" s="67">
        <f t="shared" si="1"/>
        <v>8.194482381862878</v>
      </c>
      <c r="Z22" s="67">
        <f t="shared" si="2"/>
        <v>14.961009492083202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3"/>
        <v>3.8625625000000004E-2</v>
      </c>
      <c r="Y23" s="67">
        <f t="shared" si="1"/>
        <v>8.4141033316613001</v>
      </c>
      <c r="Z23" s="67">
        <f t="shared" si="2"/>
        <v>14.75931360462307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3"/>
        <v>4.0802499999999998E-2</v>
      </c>
      <c r="Y24" s="67">
        <f t="shared" si="1"/>
        <v>8.5779057655780893</v>
      </c>
      <c r="Z24" s="67">
        <f t="shared" si="2"/>
        <v>14.499307108877192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83982.298884364383</v>
      </c>
      <c r="Q25" s="18">
        <f t="shared" ref="Q25:Q36" si="4">P25/$P$25</f>
        <v>1</v>
      </c>
      <c r="R25" s="27">
        <f t="shared" ref="R25:R36" si="5">P25*(1-O25)</f>
        <v>419.91149442182228</v>
      </c>
      <c r="S25" s="6">
        <v>0</v>
      </c>
      <c r="T25" s="29">
        <f t="shared" ref="T25:T36" si="6">P25-R25-S25</f>
        <v>83562.387389942567</v>
      </c>
      <c r="U25" s="18">
        <f t="shared" ref="U25:U36" si="7">T25/$P$25</f>
        <v>0.99500000000000011</v>
      </c>
      <c r="V25" s="33"/>
      <c r="W25" s="68">
        <v>0.375</v>
      </c>
      <c r="X25" s="67">
        <f t="shared" si="3"/>
        <v>4.3140625000000002E-2</v>
      </c>
      <c r="Y25" s="67">
        <f t="shared" si="1"/>
        <v>8.6925027164070983</v>
      </c>
      <c r="Z25" s="67">
        <f t="shared" si="2"/>
        <v>14.194797495302732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83562.387389942567</v>
      </c>
      <c r="Q26" s="18">
        <f t="shared" si="4"/>
        <v>0.99500000000000011</v>
      </c>
      <c r="R26" s="27">
        <f t="shared" si="5"/>
        <v>835.62387389942637</v>
      </c>
      <c r="S26" s="6">
        <v>0</v>
      </c>
      <c r="T26" s="29">
        <f t="shared" si="6"/>
        <v>82726.763516043138</v>
      </c>
      <c r="U26" s="18">
        <f t="shared" si="7"/>
        <v>0.98504999999999998</v>
      </c>
      <c r="V26" s="33"/>
      <c r="W26" s="68">
        <v>0.4</v>
      </c>
      <c r="X26" s="67">
        <f t="shared" si="3"/>
        <v>4.5640000000000007E-2</v>
      </c>
      <c r="Y26" s="67">
        <f t="shared" si="1"/>
        <v>8.7642418930762478</v>
      </c>
      <c r="Z26" s="67">
        <f t="shared" si="2"/>
        <v>13.857483173393423</v>
      </c>
      <c r="AA26" s="33"/>
      <c r="AB26" s="33"/>
      <c r="AC26" s="33"/>
    </row>
    <row r="27" spans="1:29" x14ac:dyDescent="0.3">
      <c r="A27" s="1">
        <v>3</v>
      </c>
      <c r="B27" s="5" t="s">
        <v>131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82726.763516043138</v>
      </c>
      <c r="Q27" s="18">
        <f t="shared" si="4"/>
        <v>0.98504999999999998</v>
      </c>
      <c r="R27" s="27">
        <f t="shared" si="5"/>
        <v>1654.5352703208641</v>
      </c>
      <c r="S27" s="6">
        <v>0</v>
      </c>
      <c r="T27" s="29">
        <f t="shared" si="6"/>
        <v>81072.228245722275</v>
      </c>
      <c r="U27" s="18">
        <f t="shared" si="7"/>
        <v>0.96534900000000001</v>
      </c>
      <c r="V27" s="33"/>
      <c r="W27" s="68">
        <v>0.42499999999999999</v>
      </c>
      <c r="X27" s="67">
        <f t="shared" si="3"/>
        <v>4.8300625E-2</v>
      </c>
      <c r="Y27" s="67">
        <f t="shared" si="1"/>
        <v>8.7990579832041504</v>
      </c>
      <c r="Z27" s="67">
        <f t="shared" si="2"/>
        <v>13.497138815911075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650</v>
      </c>
      <c r="D28" s="5"/>
      <c r="E28" s="22">
        <v>8.9099999999999997E-4</v>
      </c>
      <c r="F28" s="5">
        <f>C12</f>
        <v>2.5000000000000001E-2</v>
      </c>
      <c r="G28" s="5">
        <v>0</v>
      </c>
      <c r="H28" s="5">
        <f>C14</f>
        <v>0.129</v>
      </c>
      <c r="I28" s="5">
        <v>0</v>
      </c>
      <c r="J28" s="72">
        <v>0.25</v>
      </c>
      <c r="K28" s="26">
        <f>F28+G28*J28+H28*J28^2+I28</f>
        <v>3.3062500000000002E-2</v>
      </c>
      <c r="L28" s="25">
        <f>SQRT(2*Q28*$C$9/(E28*J28))/$S$9</f>
        <v>591.52578626858747</v>
      </c>
      <c r="M28" s="24">
        <f>J28/K28</f>
        <v>7.5614366729678633</v>
      </c>
      <c r="N28" s="19">
        <v>0.7</v>
      </c>
      <c r="O28" s="64">
        <f>EXP(-6076.12*C28*(N28/3600)/(1.68781*L28*M28))</f>
        <v>0.90327665302929194</v>
      </c>
      <c r="P28" s="27">
        <f t="shared" ref="P28:P36" si="8">T27</f>
        <v>81072.228245722275</v>
      </c>
      <c r="Q28" s="18">
        <f t="shared" si="4"/>
        <v>0.96534900000000001</v>
      </c>
      <c r="R28" s="27">
        <f t="shared" si="5"/>
        <v>7841.5772622994336</v>
      </c>
      <c r="S28" s="6">
        <v>0</v>
      </c>
      <c r="T28" s="29">
        <f t="shared" si="6"/>
        <v>73230.650983422849</v>
      </c>
      <c r="U28" s="18">
        <f t="shared" si="7"/>
        <v>0.87197721372517412</v>
      </c>
      <c r="V28" s="33"/>
      <c r="W28" s="68">
        <v>0.45</v>
      </c>
      <c r="X28" s="67">
        <f t="shared" si="3"/>
        <v>5.1122500000000001E-2</v>
      </c>
      <c r="Y28" s="67">
        <f t="shared" si="1"/>
        <v>8.8023864247640464</v>
      </c>
      <c r="Z28" s="67">
        <f t="shared" si="2"/>
        <v>13.121822939995832</v>
      </c>
      <c r="AA28" s="33"/>
      <c r="AB28" s="33"/>
      <c r="AC28" s="33"/>
    </row>
    <row r="29" spans="1:29" x14ac:dyDescent="0.3">
      <c r="A29" s="1">
        <v>5</v>
      </c>
      <c r="B29" s="5" t="s">
        <v>91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73230.650983422849</v>
      </c>
      <c r="Q29" s="18">
        <f t="shared" si="4"/>
        <v>0.87197721372517412</v>
      </c>
      <c r="R29" s="27">
        <f t="shared" si="5"/>
        <v>732.30650983422913</v>
      </c>
      <c r="S29" s="6">
        <v>0</v>
      </c>
      <c r="T29" s="29">
        <f t="shared" si="6"/>
        <v>72498.344473588615</v>
      </c>
      <c r="U29" s="18">
        <f t="shared" si="7"/>
        <v>0.86325744158792228</v>
      </c>
      <c r="V29" s="33"/>
      <c r="W29" s="68">
        <v>0.47499999999999998</v>
      </c>
      <c r="X29" s="67">
        <f t="shared" si="3"/>
        <v>5.4105625000000004E-2</v>
      </c>
      <c r="Y29" s="67">
        <f t="shared" si="1"/>
        <v>8.7791241668495648</v>
      </c>
      <c r="Z29" s="67">
        <f t="shared" si="2"/>
        <v>12.738092159632405</v>
      </c>
      <c r="AA29" s="33"/>
      <c r="AB29" s="33"/>
      <c r="AC29" s="33"/>
    </row>
    <row r="30" spans="1:29" x14ac:dyDescent="0.3">
      <c r="A30" s="1">
        <v>6</v>
      </c>
      <c r="B30" s="5" t="s">
        <v>80</v>
      </c>
      <c r="C30" s="5">
        <v>100</v>
      </c>
      <c r="D30" s="24">
        <f>C30/L30*60</f>
        <v>10.08403361344538</v>
      </c>
      <c r="E30" s="5"/>
      <c r="F30" s="5"/>
      <c r="G30" s="5"/>
      <c r="H30" s="5"/>
      <c r="I30" s="5"/>
      <c r="J30" s="72"/>
      <c r="K30" s="19"/>
      <c r="L30" s="25">
        <v>595</v>
      </c>
      <c r="M30" s="19"/>
      <c r="N30" s="19">
        <v>1</v>
      </c>
      <c r="O30" s="64">
        <f>1-(1/Q30)*C10*N30*(D30/60)</f>
        <v>0.85398281660195907</v>
      </c>
      <c r="P30" s="27">
        <f t="shared" si="8"/>
        <v>72498.344473588615</v>
      </c>
      <c r="Q30" s="18">
        <f t="shared" si="4"/>
        <v>0.86325744158792228</v>
      </c>
      <c r="R30" s="27">
        <f t="shared" si="5"/>
        <v>10586.004061054336</v>
      </c>
      <c r="S30" s="6">
        <v>0</v>
      </c>
      <c r="T30" s="29">
        <f t="shared" si="6"/>
        <v>61912.340412534279</v>
      </c>
      <c r="U30" s="18">
        <f t="shared" si="7"/>
        <v>0.73720702141985495</v>
      </c>
      <c r="V30" s="33"/>
      <c r="W30" s="68">
        <v>0.5</v>
      </c>
      <c r="X30" s="67">
        <f t="shared" si="3"/>
        <v>5.7250000000000002E-2</v>
      </c>
      <c r="Y30" s="67">
        <f t="shared" si="1"/>
        <v>8.7336244541484707</v>
      </c>
      <c r="Z30" s="67">
        <f t="shared" si="2"/>
        <v>12.351210151730088</v>
      </c>
      <c r="AA30" s="33"/>
      <c r="AB30" s="33"/>
      <c r="AC30" s="33"/>
    </row>
    <row r="31" spans="1:29" x14ac:dyDescent="0.3">
      <c r="A31" s="1">
        <v>7</v>
      </c>
      <c r="B31" s="5" t="s">
        <v>81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61912.340412534279</v>
      </c>
      <c r="Q31" s="18">
        <f t="shared" si="4"/>
        <v>0.73720702141985495</v>
      </c>
      <c r="R31" s="27">
        <f t="shared" si="5"/>
        <v>0</v>
      </c>
      <c r="S31" s="6">
        <v>0</v>
      </c>
      <c r="T31" s="29">
        <f t="shared" si="6"/>
        <v>61912.340412534279</v>
      </c>
      <c r="U31" s="18">
        <f t="shared" si="7"/>
        <v>0.73720702141985495</v>
      </c>
      <c r="V31" s="33"/>
      <c r="W31" s="68">
        <v>0.52500000000000002</v>
      </c>
      <c r="X31" s="67">
        <f t="shared" si="3"/>
        <v>6.0555625000000002E-2</v>
      </c>
      <c r="Y31" s="67">
        <f t="shared" si="1"/>
        <v>8.6697148283086829</v>
      </c>
      <c r="Z31" s="67">
        <f t="shared" si="2"/>
        <v>11.965343224671068</v>
      </c>
      <c r="AA31" s="33"/>
      <c r="AB31" s="33"/>
      <c r="AC31" s="33"/>
    </row>
    <row r="32" spans="1:29" x14ac:dyDescent="0.3">
      <c r="A32" s="1">
        <v>8</v>
      </c>
      <c r="B32" s="5" t="s">
        <v>130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0.98</v>
      </c>
      <c r="P32" s="27">
        <f t="shared" si="8"/>
        <v>61912.340412534279</v>
      </c>
      <c r="Q32" s="18">
        <f t="shared" si="4"/>
        <v>0.73720702141985495</v>
      </c>
      <c r="R32" s="27">
        <f t="shared" si="5"/>
        <v>1238.2468082506866</v>
      </c>
      <c r="S32" s="6">
        <v>0</v>
      </c>
      <c r="T32" s="29">
        <f t="shared" si="6"/>
        <v>60674.093604283589</v>
      </c>
      <c r="U32" s="18">
        <f t="shared" si="7"/>
        <v>0.72246288099145783</v>
      </c>
      <c r="V32" s="33"/>
      <c r="W32" s="68">
        <v>0.55000000000000004</v>
      </c>
      <c r="X32" s="67">
        <f t="shared" si="3"/>
        <v>6.402250000000001E-2</v>
      </c>
      <c r="Y32" s="67">
        <f t="shared" si="1"/>
        <v>8.5907298215471108</v>
      </c>
      <c r="Z32" s="67">
        <f t="shared" si="2"/>
        <v>11.583737728291869</v>
      </c>
      <c r="AA32" s="33"/>
      <c r="AB32" s="33"/>
      <c r="AC32" s="33"/>
    </row>
    <row r="33" spans="1:29" x14ac:dyDescent="0.3">
      <c r="A33" s="1">
        <v>9</v>
      </c>
      <c r="B33" s="5" t="s">
        <v>82</v>
      </c>
      <c r="C33" s="5">
        <v>650</v>
      </c>
      <c r="D33" s="5"/>
      <c r="E33" s="22">
        <v>8.9099999999999997E-4</v>
      </c>
      <c r="F33" s="5">
        <f>C12</f>
        <v>2.5000000000000001E-2</v>
      </c>
      <c r="G33" s="5">
        <v>0</v>
      </c>
      <c r="H33" s="5">
        <f>C14</f>
        <v>0.129</v>
      </c>
      <c r="I33" s="5">
        <v>0</v>
      </c>
      <c r="J33" s="72">
        <v>0.25</v>
      </c>
      <c r="K33" s="26">
        <f>F33+G33*J33+H33*J33^2+I33</f>
        <v>3.3062500000000002E-2</v>
      </c>
      <c r="L33" s="25">
        <f>SQRT(2*Q33*$C$9/(E33*J33))/$S$9</f>
        <v>516.92345387475677</v>
      </c>
      <c r="M33" s="24">
        <f>J33/K33</f>
        <v>7.5614366729678633</v>
      </c>
      <c r="N33" s="19">
        <v>0.7</v>
      </c>
      <c r="O33" s="64">
        <f>EXP(-6076.12*C33*(N33/3600)/(1.68781*L33*M33))</f>
        <v>0.89011238955545569</v>
      </c>
      <c r="P33" s="27">
        <f>T31</f>
        <v>61912.340412534279</v>
      </c>
      <c r="Q33" s="18">
        <f t="shared" si="4"/>
        <v>0.73720702141985495</v>
      </c>
      <c r="R33" s="27">
        <f t="shared" si="5"/>
        <v>6803.3991449625846</v>
      </c>
      <c r="S33" s="6">
        <v>0</v>
      </c>
      <c r="T33" s="29">
        <f t="shared" si="6"/>
        <v>55108.941267571696</v>
      </c>
      <c r="U33" s="18">
        <f t="shared" si="7"/>
        <v>0.65619710343308713</v>
      </c>
      <c r="V33" s="33"/>
      <c r="W33" s="68">
        <v>0.57499999999999996</v>
      </c>
      <c r="X33" s="67">
        <f t="shared" si="3"/>
        <v>6.7650624999999992E-2</v>
      </c>
      <c r="Y33" s="67">
        <f t="shared" si="1"/>
        <v>8.4995519257952168</v>
      </c>
      <c r="Z33" s="67">
        <f t="shared" si="2"/>
        <v>11.208877144965847</v>
      </c>
      <c r="AA33" s="33"/>
      <c r="AB33" s="33"/>
      <c r="AC33" s="33"/>
    </row>
    <row r="34" spans="1:29" x14ac:dyDescent="0.3">
      <c r="A34" s="1">
        <v>10</v>
      </c>
      <c r="B34" s="5" t="s">
        <v>83</v>
      </c>
      <c r="C34" s="5"/>
      <c r="D34" s="5"/>
      <c r="E34" s="5"/>
      <c r="F34" s="5"/>
      <c r="G34" s="5"/>
      <c r="H34" s="5"/>
      <c r="I34" s="5"/>
      <c r="J34" s="72"/>
      <c r="K34" s="18"/>
      <c r="L34" s="18"/>
      <c r="M34" s="19"/>
      <c r="N34" s="19">
        <v>0.75</v>
      </c>
      <c r="O34" s="5">
        <v>0.99</v>
      </c>
      <c r="P34" s="27">
        <f t="shared" si="8"/>
        <v>55108.941267571696</v>
      </c>
      <c r="Q34" s="18">
        <f t="shared" si="4"/>
        <v>0.65619710343308713</v>
      </c>
      <c r="R34" s="27">
        <f t="shared" si="5"/>
        <v>551.08941267571743</v>
      </c>
      <c r="S34" s="6">
        <v>0</v>
      </c>
      <c r="T34" s="29">
        <f t="shared" si="6"/>
        <v>54557.851854895976</v>
      </c>
      <c r="U34" s="18">
        <f t="shared" si="7"/>
        <v>0.64963513239875625</v>
      </c>
      <c r="V34" s="33"/>
      <c r="W34" s="68">
        <v>0.6</v>
      </c>
      <c r="X34" s="67">
        <f t="shared" si="3"/>
        <v>7.1440000000000003E-2</v>
      </c>
      <c r="Y34" s="67">
        <f t="shared" si="1"/>
        <v>8.3986562150055981</v>
      </c>
      <c r="Z34" s="67">
        <f t="shared" si="2"/>
        <v>10.842618550412702</v>
      </c>
      <c r="AA34" s="33"/>
      <c r="AB34" s="33"/>
      <c r="AC34" s="33"/>
    </row>
    <row r="35" spans="1:29" x14ac:dyDescent="0.3">
      <c r="A35" s="1">
        <v>11</v>
      </c>
      <c r="B35" s="5" t="s">
        <v>132</v>
      </c>
      <c r="C35" s="5"/>
      <c r="D35" s="5">
        <v>20</v>
      </c>
      <c r="E35" s="5">
        <v>1.756E-3</v>
      </c>
      <c r="F35" s="5">
        <f>C12</f>
        <v>2.5000000000000001E-2</v>
      </c>
      <c r="G35" s="5">
        <v>0</v>
      </c>
      <c r="H35" s="5">
        <f>C14</f>
        <v>0.129</v>
      </c>
      <c r="I35" s="5">
        <v>0</v>
      </c>
      <c r="J35" s="72">
        <v>0.42499999999999999</v>
      </c>
      <c r="K35" s="26">
        <f>F35+G35*J35+H35*J35^2+I35</f>
        <v>4.8300625E-2</v>
      </c>
      <c r="L35" s="25">
        <f>SQRT(2*Q35*$C$9/(E35*J35))/$S$9</f>
        <v>265.10528965876972</v>
      </c>
      <c r="M35" s="24">
        <f>J35/K35</f>
        <v>8.7990579832041504</v>
      </c>
      <c r="N35" s="19">
        <v>0.7</v>
      </c>
      <c r="O35" s="64">
        <f>EXP(-(D35*60)*(N35/3600)/(M35))</f>
        <v>0.97383052427586647</v>
      </c>
      <c r="P35" s="27">
        <f t="shared" si="8"/>
        <v>54557.851854895976</v>
      </c>
      <c r="Q35" s="18">
        <f t="shared" si="4"/>
        <v>0.64963513239875625</v>
      </c>
      <c r="R35" s="27">
        <f t="shared" si="5"/>
        <v>1427.7503796775736</v>
      </c>
      <c r="S35" s="6">
        <v>0</v>
      </c>
      <c r="T35" s="29">
        <f t="shared" si="6"/>
        <v>53130.101475218406</v>
      </c>
      <c r="U35" s="18">
        <f t="shared" si="7"/>
        <v>0.63263452157190281</v>
      </c>
      <c r="V35" s="34"/>
      <c r="W35" s="68">
        <v>0.625</v>
      </c>
      <c r="X35" s="67">
        <f t="shared" si="3"/>
        <v>7.5390625000000003E-2</v>
      </c>
      <c r="Y35" s="67">
        <f t="shared" si="1"/>
        <v>8.290155440414507</v>
      </c>
      <c r="Z35" s="67">
        <f t="shared" si="2"/>
        <v>10.48630933941846</v>
      </c>
      <c r="AA35" s="34"/>
      <c r="AB35" s="34"/>
      <c r="AC35" s="34"/>
    </row>
    <row r="36" spans="1:29" x14ac:dyDescent="0.3">
      <c r="A36" s="66">
        <v>12</v>
      </c>
      <c r="B36" s="5" t="s">
        <v>85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53130.101475218406</v>
      </c>
      <c r="Q36" s="18">
        <f t="shared" si="4"/>
        <v>0.63263452157190281</v>
      </c>
      <c r="R36" s="27">
        <f t="shared" si="5"/>
        <v>265.65050737609226</v>
      </c>
      <c r="S36" s="6">
        <v>0</v>
      </c>
      <c r="T36" s="29">
        <f t="shared" si="6"/>
        <v>52864.450967842313</v>
      </c>
      <c r="U36" s="18">
        <f t="shared" si="7"/>
        <v>0.62947134896404322</v>
      </c>
      <c r="W36" s="68">
        <v>0.65</v>
      </c>
      <c r="X36" s="67">
        <f t="shared" si="3"/>
        <v>7.9502500000000004E-2</v>
      </c>
      <c r="Y36" s="67">
        <f t="shared" si="1"/>
        <v>8.1758435269331144</v>
      </c>
      <c r="Z36" s="67">
        <f t="shared" si="2"/>
        <v>10.14088581906047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3"/>
        <v>8.377562500000002E-2</v>
      </c>
      <c r="Y37" s="67">
        <f t="shared" si="1"/>
        <v>8.0572362187688835</v>
      </c>
      <c r="Z37" s="67">
        <f t="shared" si="2"/>
        <v>9.8069556181496598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3"/>
        <v>8.8209999999999983E-2</v>
      </c>
      <c r="Y38" s="67">
        <f t="shared" si="1"/>
        <v>7.9356082076862045</v>
      </c>
      <c r="Z38" s="67">
        <f t="shared" si="2"/>
        <v>9.4848659622953821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3"/>
        <v>9.2805625000000003E-2</v>
      </c>
      <c r="Y39" s="67">
        <f t="shared" si="1"/>
        <v>7.8120264800759651</v>
      </c>
      <c r="Z39" s="67">
        <f t="shared" si="2"/>
        <v>9.1747598089697693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3"/>
        <v>9.7562499999999996E-2</v>
      </c>
      <c r="Y40" s="67">
        <f t="shared" si="1"/>
        <v>7.6873798846893022</v>
      </c>
      <c r="Z40" s="67">
        <f t="shared" si="2"/>
        <v>8.876621691576565</v>
      </c>
    </row>
    <row r="41" spans="1:29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3"/>
        <v>0.10248062500000002</v>
      </c>
      <c r="Y41" s="67">
        <f t="shared" si="1"/>
        <v>7.562405088766778</v>
      </c>
      <c r="Z41" s="67">
        <f t="shared" si="2"/>
        <v>8.5903149310706315</v>
      </c>
    </row>
    <row r="42" spans="1:29" x14ac:dyDescent="0.3">
      <c r="W42" s="68">
        <v>0.8</v>
      </c>
      <c r="X42" s="67">
        <f t="shared" si="3"/>
        <v>0.10756000000000002</v>
      </c>
      <c r="Y42" s="67">
        <f t="shared" si="1"/>
        <v>7.437709185570843</v>
      </c>
      <c r="Z42" s="67">
        <f t="shared" si="2"/>
        <v>8.3156116679055021</v>
      </c>
    </row>
    <row r="43" spans="1:29" x14ac:dyDescent="0.3">
      <c r="Q43" s="74" t="s">
        <v>86</v>
      </c>
      <c r="R43" s="75"/>
      <c r="S43" s="76"/>
      <c r="W43" s="68">
        <v>0.82499999999999996</v>
      </c>
      <c r="X43" s="67">
        <f t="shared" si="3"/>
        <v>0.11280062499999999</v>
      </c>
      <c r="Y43" s="67">
        <f t="shared" si="1"/>
        <v>7.3137892631357317</v>
      </c>
      <c r="Z43" s="67">
        <f t="shared" si="2"/>
        <v>8.0522169644826658</v>
      </c>
    </row>
    <row r="44" spans="1:29" x14ac:dyDescent="0.3">
      <c r="Q44" s="1" t="s">
        <v>87</v>
      </c>
      <c r="R44" s="32">
        <f>SUM(R25:R41)</f>
        <v>32356.094724772767</v>
      </c>
      <c r="S44" s="1" t="s">
        <v>7</v>
      </c>
      <c r="W44" s="68">
        <v>0.85</v>
      </c>
      <c r="X44" s="67">
        <f t="shared" si="3"/>
        <v>0.11820249999999999</v>
      </c>
      <c r="Y44" s="67">
        <f t="shared" si="1"/>
        <v>7.1910492586874222</v>
      </c>
      <c r="Z44" s="67">
        <f t="shared" si="2"/>
        <v>7.7997880394178534</v>
      </c>
    </row>
    <row r="45" spans="1:29" x14ac:dyDescent="0.3">
      <c r="Q45" s="1" t="s">
        <v>88</v>
      </c>
      <c r="R45" s="32">
        <f>R44*C21</f>
        <v>1941.3656834863659</v>
      </c>
      <c r="S45" s="1" t="s">
        <v>7</v>
      </c>
      <c r="W45" s="68">
        <v>0.875</v>
      </c>
      <c r="X45" s="67">
        <f t="shared" si="3"/>
        <v>0.12376562499999999</v>
      </c>
      <c r="Y45" s="67">
        <f t="shared" si="1"/>
        <v>7.0698144173715445</v>
      </c>
      <c r="Z45" s="67">
        <f t="shared" si="2"/>
        <v>7.5579495251083282</v>
      </c>
    </row>
    <row r="46" spans="1:29" x14ac:dyDescent="0.3">
      <c r="Q46" s="1" t="s">
        <v>89</v>
      </c>
      <c r="R46" s="32">
        <f>R44+R45</f>
        <v>34297.460408259132</v>
      </c>
      <c r="S46" s="1" t="s">
        <v>7</v>
      </c>
      <c r="W46" s="68">
        <v>0.9</v>
      </c>
      <c r="X46" s="67">
        <f t="shared" si="3"/>
        <v>0.12949000000000002</v>
      </c>
      <c r="Y46" s="67">
        <f t="shared" si="1"/>
        <v>6.9503436558807623</v>
      </c>
      <c r="Z46" s="67">
        <f t="shared" si="2"/>
        <v>7.3263054911615848</v>
      </c>
    </row>
    <row r="47" spans="1:29" x14ac:dyDescent="0.3">
      <c r="W47" s="68">
        <v>0.92500000000000004</v>
      </c>
      <c r="X47" s="67">
        <f t="shared" si="3"/>
        <v>0.13537562500000003</v>
      </c>
      <c r="Y47" s="67">
        <f t="shared" si="1"/>
        <v>6.8328401069247127</v>
      </c>
      <c r="Z47" s="67">
        <f>W47^(1/2)/X47</f>
        <v>7.1044488480372081</v>
      </c>
    </row>
    <row r="48" spans="1:29" x14ac:dyDescent="0.3">
      <c r="W48" s="68">
        <v>0.95</v>
      </c>
      <c r="X48" s="67">
        <f t="shared" si="3"/>
        <v>0.14142250000000001</v>
      </c>
      <c r="Y48" s="67">
        <f t="shared" si="1"/>
        <v>6.7174600929837887</v>
      </c>
      <c r="Z48" s="67">
        <f t="shared" si="2"/>
        <v>6.8919686363972943</v>
      </c>
    </row>
    <row r="49" spans="23:26" x14ac:dyDescent="0.3">
      <c r="W49" s="68">
        <v>0.97499999999999998</v>
      </c>
      <c r="X49" s="67">
        <f t="shared" si="3"/>
        <v>0.14763062499999999</v>
      </c>
      <c r="Y49" s="67">
        <f t="shared" si="1"/>
        <v>6.6043207498444181</v>
      </c>
      <c r="Z49" s="67">
        <f t="shared" si="2"/>
        <v>6.688455616214962</v>
      </c>
    </row>
    <row r="50" spans="23:26" x14ac:dyDescent="0.3">
      <c r="W50" s="68">
        <v>1</v>
      </c>
      <c r="X50" s="67">
        <f t="shared" si="3"/>
        <v>0.154</v>
      </c>
      <c r="Y50" s="67">
        <f t="shared" si="1"/>
        <v>6.4935064935064934</v>
      </c>
      <c r="Z50" s="67">
        <f t="shared" si="2"/>
        <v>6.4935064935064934</v>
      </c>
    </row>
  </sheetData>
  <mergeCells count="12">
    <mergeCell ref="F7:H7"/>
    <mergeCell ref="M1:P1"/>
    <mergeCell ref="B2:D2"/>
    <mergeCell ref="F2:H2"/>
    <mergeCell ref="J2:J3"/>
    <mergeCell ref="B5:D5"/>
    <mergeCell ref="Q43:S43"/>
    <mergeCell ref="B8:D8"/>
    <mergeCell ref="B11:D11"/>
    <mergeCell ref="N14:O14"/>
    <mergeCell ref="A20:U20"/>
    <mergeCell ref="E21:M21"/>
  </mergeCells>
  <conditionalFormatting sqref="Y8:Y50">
    <cfRule type="top10" dxfId="7" priority="2" rank="1"/>
  </conditionalFormatting>
  <conditionalFormatting sqref="Z8:Z50">
    <cfRule type="top10" dxfId="6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DBE9-4CA7-476E-956D-9A5D107300DE}">
  <dimension ref="B2:D4"/>
  <sheetViews>
    <sheetView workbookViewId="0">
      <selection activeCell="C3" sqref="C3"/>
    </sheetView>
  </sheetViews>
  <sheetFormatPr defaultRowHeight="14.4" x14ac:dyDescent="0.3"/>
  <cols>
    <col min="2" max="2" width="28" customWidth="1"/>
  </cols>
  <sheetData>
    <row r="2" spans="2:4" x14ac:dyDescent="0.3">
      <c r="B2" s="77" t="s">
        <v>23</v>
      </c>
      <c r="C2" s="77"/>
      <c r="D2" s="77"/>
    </row>
    <row r="3" spans="2:4" x14ac:dyDescent="0.3">
      <c r="B3" s="2" t="s">
        <v>27</v>
      </c>
      <c r="C3" s="7">
        <v>105</v>
      </c>
      <c r="D3" s="2" t="s">
        <v>28</v>
      </c>
    </row>
    <row r="4" spans="2:4" x14ac:dyDescent="0.3">
      <c r="B4" s="2" t="s">
        <v>38</v>
      </c>
      <c r="C4" s="23">
        <v>0.87</v>
      </c>
      <c r="D4" s="2"/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9AD6-A67C-4172-8E7D-F2C714714D8A}">
  <sheetPr codeName="Sheet5"/>
  <dimension ref="A1:J42"/>
  <sheetViews>
    <sheetView workbookViewId="0">
      <selection activeCell="D8" sqref="D8"/>
    </sheetView>
  </sheetViews>
  <sheetFormatPr defaultRowHeight="14.4" x14ac:dyDescent="0.3"/>
  <cols>
    <col min="1" max="1" width="30" bestFit="1" customWidth="1"/>
    <col min="2" max="2" width="6" bestFit="1" customWidth="1"/>
    <col min="3" max="3" width="4.21875" bestFit="1" customWidth="1"/>
    <col min="6" max="6" width="24.77734375" bestFit="1" customWidth="1"/>
    <col min="7" max="8" width="8.5546875" bestFit="1" customWidth="1"/>
    <col min="9" max="9" width="9.21875" bestFit="1" customWidth="1"/>
    <col min="10" max="10" width="7.77734375" bestFit="1" customWidth="1"/>
  </cols>
  <sheetData>
    <row r="1" spans="1:10" x14ac:dyDescent="0.3">
      <c r="A1" s="87" t="s">
        <v>92</v>
      </c>
      <c r="B1" s="87"/>
      <c r="C1" s="87"/>
      <c r="F1" s="63" t="s">
        <v>0</v>
      </c>
      <c r="G1" s="63"/>
      <c r="H1" s="63"/>
      <c r="I1" s="63"/>
      <c r="J1" s="16"/>
    </row>
    <row r="2" spans="1:10" x14ac:dyDescent="0.3">
      <c r="A2" s="87"/>
      <c r="B2" s="87"/>
      <c r="C2" s="87"/>
      <c r="F2" s="43"/>
      <c r="G2" s="43" t="s">
        <v>6</v>
      </c>
      <c r="H2" s="43" t="s">
        <v>7</v>
      </c>
      <c r="I2" s="43" t="s">
        <v>93</v>
      </c>
      <c r="J2" s="16"/>
    </row>
    <row r="3" spans="1:10" x14ac:dyDescent="0.3">
      <c r="A3" s="87"/>
      <c r="B3" s="87"/>
      <c r="C3" s="87"/>
      <c r="F3" s="43" t="s">
        <v>13</v>
      </c>
      <c r="G3" s="44">
        <f>H3*0.4536</f>
        <v>31103.351999999999</v>
      </c>
      <c r="H3" s="44">
        <v>68570</v>
      </c>
      <c r="I3" s="43"/>
      <c r="J3" s="16"/>
    </row>
    <row r="4" spans="1:10" x14ac:dyDescent="0.3">
      <c r="A4" s="87"/>
      <c r="B4" s="87"/>
      <c r="C4" s="87"/>
      <c r="F4" s="43" t="s">
        <v>16</v>
      </c>
      <c r="G4" s="44">
        <f>H4*0.4536</f>
        <v>16820.395199999999</v>
      </c>
      <c r="H4" s="44">
        <v>37082</v>
      </c>
      <c r="I4" s="45">
        <f>H4/H3</f>
        <v>0.54079043313402364</v>
      </c>
      <c r="J4" s="16"/>
    </row>
    <row r="5" spans="1:10" x14ac:dyDescent="0.3">
      <c r="A5" s="87"/>
      <c r="B5" s="87"/>
      <c r="C5" s="87"/>
      <c r="F5" s="43" t="s">
        <v>22</v>
      </c>
      <c r="G5" s="44">
        <f>H5*0.4536</f>
        <v>8612.9567999999999</v>
      </c>
      <c r="H5" s="44">
        <v>18988</v>
      </c>
      <c r="I5" s="45">
        <f>H5/H3</f>
        <v>0.27691410237713288</v>
      </c>
      <c r="J5" s="16"/>
    </row>
    <row r="6" spans="1:10" x14ac:dyDescent="0.3">
      <c r="F6" s="46" t="s">
        <v>94</v>
      </c>
      <c r="G6" s="47">
        <f>H6*0.4536</f>
        <v>5670</v>
      </c>
      <c r="H6" s="47">
        <v>12500</v>
      </c>
      <c r="I6" s="48">
        <f>H6/H3</f>
        <v>0.18229546448884351</v>
      </c>
      <c r="J6" s="16"/>
    </row>
    <row r="7" spans="1:10" x14ac:dyDescent="0.3">
      <c r="A7" s="77" t="s">
        <v>17</v>
      </c>
      <c r="B7" s="77"/>
      <c r="C7" s="77"/>
      <c r="F7" s="9"/>
      <c r="G7" s="49"/>
      <c r="H7" s="49"/>
      <c r="I7" s="50"/>
      <c r="J7" s="16"/>
    </row>
    <row r="8" spans="1:10" x14ac:dyDescent="0.3">
      <c r="A8" s="2" t="s">
        <v>19</v>
      </c>
      <c r="B8" s="7">
        <v>12000</v>
      </c>
      <c r="C8" s="2" t="s">
        <v>7</v>
      </c>
      <c r="F8" s="63" t="s">
        <v>95</v>
      </c>
      <c r="G8" s="63"/>
      <c r="H8" s="63"/>
      <c r="I8" s="63"/>
      <c r="J8" s="63"/>
    </row>
    <row r="9" spans="1:10" x14ac:dyDescent="0.3">
      <c r="A9" s="2" t="s">
        <v>20</v>
      </c>
      <c r="B9" s="7">
        <v>500</v>
      </c>
      <c r="C9" s="2" t="s">
        <v>7</v>
      </c>
      <c r="F9" s="43" t="s">
        <v>96</v>
      </c>
      <c r="G9" s="52">
        <f>I9</f>
        <v>0.67</v>
      </c>
      <c r="H9" s="43" t="s">
        <v>97</v>
      </c>
      <c r="I9" s="52">
        <f>B12</f>
        <v>0.67</v>
      </c>
      <c r="J9" s="43" t="s">
        <v>98</v>
      </c>
    </row>
    <row r="10" spans="1:10" x14ac:dyDescent="0.3">
      <c r="A10" s="77" t="s">
        <v>23</v>
      </c>
      <c r="B10" s="77"/>
      <c r="C10" s="77"/>
      <c r="F10" s="46" t="s">
        <v>47</v>
      </c>
      <c r="G10" s="47">
        <f>I10*0.746</f>
        <v>34272.657400000004</v>
      </c>
      <c r="H10" s="46" t="s">
        <v>6</v>
      </c>
      <c r="I10" s="47">
        <f>H3*I9</f>
        <v>45941.9</v>
      </c>
      <c r="J10" s="46" t="s">
        <v>7</v>
      </c>
    </row>
    <row r="11" spans="1:10" x14ac:dyDescent="0.3">
      <c r="A11" s="2" t="s">
        <v>27</v>
      </c>
      <c r="B11" s="7">
        <v>130</v>
      </c>
      <c r="C11" s="2" t="s">
        <v>28</v>
      </c>
      <c r="F11" s="9"/>
      <c r="G11" s="9"/>
      <c r="H11" s="9"/>
      <c r="I11" s="9"/>
      <c r="J11" s="9"/>
    </row>
    <row r="12" spans="1:10" x14ac:dyDescent="0.3">
      <c r="A12" s="2" t="s">
        <v>38</v>
      </c>
      <c r="B12" s="23">
        <v>0.67</v>
      </c>
      <c r="C12" s="2"/>
      <c r="F12" s="63" t="s">
        <v>99</v>
      </c>
      <c r="G12" s="63"/>
      <c r="H12" s="63"/>
      <c r="I12" s="63"/>
      <c r="J12" s="63"/>
    </row>
    <row r="13" spans="1:10" x14ac:dyDescent="0.3">
      <c r="F13" s="43" t="s">
        <v>100</v>
      </c>
      <c r="G13" s="52">
        <f>I13*4.88</f>
        <v>634.4</v>
      </c>
      <c r="H13" s="43" t="s">
        <v>101</v>
      </c>
      <c r="I13" s="51">
        <f>B11</f>
        <v>130</v>
      </c>
      <c r="J13" s="43" t="s">
        <v>102</v>
      </c>
    </row>
    <row r="14" spans="1:10" x14ac:dyDescent="0.3">
      <c r="A14" s="59" t="s">
        <v>103</v>
      </c>
      <c r="B14" s="59"/>
      <c r="C14" s="16"/>
      <c r="F14" s="43" t="s">
        <v>40</v>
      </c>
      <c r="G14" s="53">
        <f>I14/3.28^2</f>
        <v>49.027879467350026</v>
      </c>
      <c r="H14" s="43" t="s">
        <v>31</v>
      </c>
      <c r="I14" s="53">
        <f>H3/I13</f>
        <v>527.46153846153845</v>
      </c>
      <c r="J14" s="43" t="s">
        <v>32</v>
      </c>
    </row>
    <row r="15" spans="1:10" x14ac:dyDescent="0.3">
      <c r="A15" s="35" t="s">
        <v>104</v>
      </c>
      <c r="B15" s="36">
        <v>0.93</v>
      </c>
      <c r="C15" s="16"/>
      <c r="F15" s="43" t="s">
        <v>105</v>
      </c>
      <c r="G15" s="54">
        <f>I15/3.28</f>
        <v>13.099525874462978</v>
      </c>
      <c r="H15" s="43" t="s">
        <v>106</v>
      </c>
      <c r="I15" s="54">
        <f>SQRT(G18*I14)</f>
        <v>42.966444868238568</v>
      </c>
      <c r="J15" s="43" t="s">
        <v>107</v>
      </c>
    </row>
    <row r="16" spans="1:10" x14ac:dyDescent="0.3">
      <c r="A16" s="37" t="s">
        <v>108</v>
      </c>
      <c r="B16" s="38">
        <v>0.39</v>
      </c>
      <c r="C16" s="16"/>
      <c r="F16" s="43" t="s">
        <v>109</v>
      </c>
      <c r="G16" s="54">
        <f>I16/3.28</f>
        <v>4.6784020980224925</v>
      </c>
      <c r="H16" s="43" t="s">
        <v>106</v>
      </c>
      <c r="I16" s="54">
        <f>2*I14/(I15*(1+G19))</f>
        <v>15.345158881513774</v>
      </c>
      <c r="J16" s="43" t="s">
        <v>107</v>
      </c>
    </row>
    <row r="17" spans="1:10" x14ac:dyDescent="0.3">
      <c r="A17" s="16"/>
      <c r="B17" s="16"/>
      <c r="C17" s="16"/>
      <c r="F17" s="43" t="s">
        <v>110</v>
      </c>
      <c r="G17" s="54">
        <f>G19*G16</f>
        <v>2.8070412588134954</v>
      </c>
      <c r="H17" s="43" t="s">
        <v>106</v>
      </c>
      <c r="I17" s="54">
        <f>G19*I16</f>
        <v>9.2070953289082631</v>
      </c>
      <c r="J17" s="43" t="s">
        <v>107</v>
      </c>
    </row>
    <row r="18" spans="1:10" x14ac:dyDescent="0.3">
      <c r="A18" s="60" t="s">
        <v>111</v>
      </c>
      <c r="B18" s="61"/>
      <c r="C18" s="62"/>
      <c r="F18" s="43" t="s">
        <v>112</v>
      </c>
      <c r="G18" s="51">
        <f>B19</f>
        <v>3.5</v>
      </c>
      <c r="H18" s="55"/>
      <c r="I18" s="55"/>
      <c r="J18" s="55"/>
    </row>
    <row r="19" spans="1:10" x14ac:dyDescent="0.3">
      <c r="A19" s="39" t="s">
        <v>113</v>
      </c>
      <c r="B19" s="40">
        <v>3.5</v>
      </c>
      <c r="C19" s="39"/>
      <c r="F19" s="46" t="s">
        <v>114</v>
      </c>
      <c r="G19" s="56">
        <f>B20</f>
        <v>0.6</v>
      </c>
      <c r="H19" s="57"/>
      <c r="I19" s="57"/>
      <c r="J19" s="57"/>
    </row>
    <row r="20" spans="1:10" x14ac:dyDescent="0.3">
      <c r="A20" s="37" t="s">
        <v>115</v>
      </c>
      <c r="B20" s="42">
        <v>0.6</v>
      </c>
      <c r="C20" s="37"/>
      <c r="F20" s="16"/>
      <c r="G20" s="16"/>
      <c r="H20" s="16"/>
      <c r="I20" s="16"/>
      <c r="J20" s="16"/>
    </row>
    <row r="21" spans="1:10" x14ac:dyDescent="0.3">
      <c r="A21" s="39" t="s">
        <v>116</v>
      </c>
      <c r="B21" s="40">
        <v>4</v>
      </c>
      <c r="C21" s="39"/>
      <c r="F21" s="63" t="s">
        <v>117</v>
      </c>
      <c r="G21" s="63"/>
      <c r="H21" s="63"/>
      <c r="I21" s="63"/>
      <c r="J21" s="63"/>
    </row>
    <row r="22" spans="1:10" x14ac:dyDescent="0.3">
      <c r="A22" s="35" t="s">
        <v>118</v>
      </c>
      <c r="B22" s="41">
        <v>0.3</v>
      </c>
      <c r="C22" s="35"/>
      <c r="F22" s="46" t="s">
        <v>119</v>
      </c>
      <c r="G22" s="58">
        <f>I22/3.28</f>
        <v>21.812298037144433</v>
      </c>
      <c r="H22" s="46" t="s">
        <v>106</v>
      </c>
      <c r="I22" s="58">
        <f>B15*H3^B16</f>
        <v>71.544337561833743</v>
      </c>
      <c r="J22" s="46" t="s">
        <v>107</v>
      </c>
    </row>
    <row r="23" spans="1:10" x14ac:dyDescent="0.3">
      <c r="A23" s="35" t="s">
        <v>120</v>
      </c>
      <c r="B23" s="41">
        <v>0.4</v>
      </c>
      <c r="C23" s="35"/>
      <c r="F23" s="9"/>
      <c r="G23" s="9"/>
      <c r="H23" s="9"/>
      <c r="I23" s="9"/>
      <c r="J23" s="9"/>
    </row>
    <row r="24" spans="1:10" x14ac:dyDescent="0.3">
      <c r="A24" s="37" t="s">
        <v>121</v>
      </c>
      <c r="B24" s="42">
        <v>0.5</v>
      </c>
      <c r="C24" s="37"/>
      <c r="F24" s="63" t="s">
        <v>122</v>
      </c>
      <c r="G24" s="63"/>
      <c r="H24" s="63"/>
      <c r="I24" s="63"/>
      <c r="J24" s="63"/>
    </row>
    <row r="25" spans="1:10" x14ac:dyDescent="0.3">
      <c r="A25" s="39" t="s">
        <v>123</v>
      </c>
      <c r="B25" s="40">
        <v>1.2</v>
      </c>
      <c r="C25" s="39"/>
      <c r="F25" s="43" t="s">
        <v>124</v>
      </c>
      <c r="G25" s="51">
        <f>B23</f>
        <v>0.4</v>
      </c>
      <c r="H25" s="43"/>
      <c r="I25" s="43"/>
      <c r="J25" s="43"/>
    </row>
    <row r="26" spans="1:10" x14ac:dyDescent="0.3">
      <c r="A26" s="35" t="s">
        <v>125</v>
      </c>
      <c r="B26" s="41">
        <v>0.3</v>
      </c>
      <c r="C26" s="35"/>
      <c r="F26" s="43" t="s">
        <v>126</v>
      </c>
      <c r="G26" s="54">
        <f>I26/3.28</f>
        <v>10.906149018572217</v>
      </c>
      <c r="H26" s="43" t="s">
        <v>106</v>
      </c>
      <c r="I26" s="54">
        <f>B24*I22</f>
        <v>35.772168780916871</v>
      </c>
      <c r="J26" s="43" t="s">
        <v>107</v>
      </c>
    </row>
    <row r="27" spans="1:10" x14ac:dyDescent="0.3">
      <c r="A27" s="35" t="s">
        <v>127</v>
      </c>
      <c r="B27" s="41">
        <v>7.0000000000000007E-2</v>
      </c>
      <c r="C27" s="35"/>
      <c r="F27" s="43" t="s">
        <v>40</v>
      </c>
      <c r="G27" s="53">
        <f>I27/3.28^2</f>
        <v>5.0475481405077502</v>
      </c>
      <c r="H27" s="43" t="s">
        <v>31</v>
      </c>
      <c r="I27" s="53">
        <f>G19*I16*G25*I14/I26</f>
        <v>54.303541914838569</v>
      </c>
      <c r="J27" s="43" t="s">
        <v>32</v>
      </c>
    </row>
    <row r="28" spans="1:10" x14ac:dyDescent="0.3">
      <c r="A28" s="37" t="s">
        <v>128</v>
      </c>
      <c r="B28" s="42">
        <v>0.5</v>
      </c>
      <c r="C28" s="37"/>
      <c r="F28" s="43" t="s">
        <v>105</v>
      </c>
      <c r="G28" s="54">
        <f>I28/3.28</f>
        <v>4.4933498152303919</v>
      </c>
      <c r="H28" s="43" t="s">
        <v>106</v>
      </c>
      <c r="I28" s="54">
        <f>SQRT(G31*I27)</f>
        <v>14.738187393955686</v>
      </c>
      <c r="J28" s="43" t="s">
        <v>107</v>
      </c>
    </row>
    <row r="29" spans="1:10" x14ac:dyDescent="0.3">
      <c r="F29" s="43" t="s">
        <v>109</v>
      </c>
      <c r="G29" s="54">
        <f>I29/3.28</f>
        <v>1.7282114673963045</v>
      </c>
      <c r="H29" s="43" t="s">
        <v>106</v>
      </c>
      <c r="I29" s="54">
        <f>2*I27/(I28*(1+G32))</f>
        <v>5.6685336130598785</v>
      </c>
      <c r="J29" s="43" t="s">
        <v>107</v>
      </c>
    </row>
    <row r="30" spans="1:10" x14ac:dyDescent="0.3">
      <c r="F30" s="43" t="s">
        <v>110</v>
      </c>
      <c r="G30" s="54">
        <f>G32*G29</f>
        <v>0.51846344021889135</v>
      </c>
      <c r="H30" s="43" t="s">
        <v>106</v>
      </c>
      <c r="I30" s="54">
        <f>G32*I29</f>
        <v>1.7005600839179635</v>
      </c>
      <c r="J30" s="43" t="s">
        <v>107</v>
      </c>
    </row>
    <row r="31" spans="1:10" x14ac:dyDescent="0.3">
      <c r="F31" s="43" t="s">
        <v>112</v>
      </c>
      <c r="G31" s="51">
        <f>B21</f>
        <v>4</v>
      </c>
      <c r="H31" s="55"/>
      <c r="I31" s="55"/>
      <c r="J31" s="55"/>
    </row>
    <row r="32" spans="1:10" x14ac:dyDescent="0.3">
      <c r="F32" s="46" t="s">
        <v>114</v>
      </c>
      <c r="G32" s="56">
        <f>B22</f>
        <v>0.3</v>
      </c>
      <c r="H32" s="57"/>
      <c r="I32" s="57"/>
      <c r="J32" s="57"/>
    </row>
    <row r="33" spans="6:10" x14ac:dyDescent="0.3">
      <c r="F33" s="9"/>
      <c r="G33" s="9"/>
      <c r="H33" s="9"/>
      <c r="I33" s="9"/>
      <c r="J33" s="9"/>
    </row>
    <row r="34" spans="6:10" x14ac:dyDescent="0.3">
      <c r="F34" s="63" t="s">
        <v>129</v>
      </c>
      <c r="G34" s="63"/>
      <c r="H34" s="63"/>
      <c r="I34" s="63"/>
      <c r="J34" s="63"/>
    </row>
    <row r="35" spans="6:10" x14ac:dyDescent="0.3">
      <c r="F35" s="43" t="s">
        <v>124</v>
      </c>
      <c r="G35" s="51">
        <f>B27</f>
        <v>7.0000000000000007E-2</v>
      </c>
      <c r="H35" s="43"/>
      <c r="I35" s="43"/>
      <c r="J35" s="43"/>
    </row>
    <row r="36" spans="6:10" x14ac:dyDescent="0.3">
      <c r="F36" s="43" t="s">
        <v>126</v>
      </c>
      <c r="G36" s="54">
        <f>I36/3.28</f>
        <v>10.906149018572217</v>
      </c>
      <c r="H36" s="43" t="s">
        <v>106</v>
      </c>
      <c r="I36" s="54">
        <f>B28*I22</f>
        <v>35.772168780916871</v>
      </c>
      <c r="J36" s="43" t="s">
        <v>107</v>
      </c>
    </row>
    <row r="37" spans="6:10" x14ac:dyDescent="0.3">
      <c r="F37" s="43" t="s">
        <v>40</v>
      </c>
      <c r="G37" s="53">
        <f>I37/3.28^2</f>
        <v>4.1221643147479963</v>
      </c>
      <c r="H37" s="43" t="s">
        <v>31</v>
      </c>
      <c r="I37" s="53">
        <f>G35*I14*I15/I36</f>
        <v>44.347892563784839</v>
      </c>
      <c r="J37" s="43" t="s">
        <v>32</v>
      </c>
    </row>
    <row r="38" spans="6:10" x14ac:dyDescent="0.3">
      <c r="F38" s="43" t="s">
        <v>105</v>
      </c>
      <c r="G38" s="54">
        <f>I38/3.28</f>
        <v>2.2240946872149117</v>
      </c>
      <c r="H38" s="43" t="s">
        <v>106</v>
      </c>
      <c r="I38" s="54">
        <f>SQRT(G41*I37)</f>
        <v>7.29503057406491</v>
      </c>
      <c r="J38" s="43" t="s">
        <v>107</v>
      </c>
    </row>
    <row r="39" spans="6:10" x14ac:dyDescent="0.3">
      <c r="F39" s="43" t="s">
        <v>109</v>
      </c>
      <c r="G39" s="54">
        <f>I39/3.28</f>
        <v>2.8514034451473225</v>
      </c>
      <c r="H39" s="43" t="s">
        <v>106</v>
      </c>
      <c r="I39" s="54">
        <f>2*I37/(I38*(1+G42))</f>
        <v>9.3526033000832172</v>
      </c>
      <c r="J39" s="43" t="s">
        <v>107</v>
      </c>
    </row>
    <row r="40" spans="6:10" x14ac:dyDescent="0.3">
      <c r="F40" s="43" t="s">
        <v>110</v>
      </c>
      <c r="G40" s="54">
        <f>G42*G39</f>
        <v>0.85542103354419674</v>
      </c>
      <c r="H40" s="43" t="s">
        <v>106</v>
      </c>
      <c r="I40" s="54">
        <f>G42*I39</f>
        <v>2.8057809900249651</v>
      </c>
      <c r="J40" s="43" t="s">
        <v>107</v>
      </c>
    </row>
    <row r="41" spans="6:10" x14ac:dyDescent="0.3">
      <c r="F41" s="43" t="s">
        <v>112</v>
      </c>
      <c r="G41" s="51">
        <f>B25</f>
        <v>1.2</v>
      </c>
      <c r="H41" s="55"/>
      <c r="I41" s="55"/>
      <c r="J41" s="55"/>
    </row>
    <row r="42" spans="6:10" x14ac:dyDescent="0.3">
      <c r="F42" s="46" t="s">
        <v>114</v>
      </c>
      <c r="G42" s="56">
        <f>B26</f>
        <v>0.3</v>
      </c>
      <c r="H42" s="57"/>
      <c r="I42" s="57"/>
      <c r="J42" s="57"/>
    </row>
  </sheetData>
  <mergeCells count="3">
    <mergeCell ref="A7:C7"/>
    <mergeCell ref="A10:C10"/>
    <mergeCell ref="A1:C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A2A, combat &amp; drop</vt:lpstr>
      <vt:lpstr>A2A, no combat nor drop</vt:lpstr>
      <vt:lpstr>Strike, drop</vt:lpstr>
      <vt:lpstr>Strike, no drop</vt:lpstr>
      <vt:lpstr>Commons</vt:lpstr>
      <vt:lpstr>Geometry Calcs (uncompleted)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Imon Chakraborty</dc:creator>
  <cp:keywords/>
  <dc:description/>
  <cp:lastModifiedBy>Jordan Reaves</cp:lastModifiedBy>
  <cp:revision/>
  <dcterms:created xsi:type="dcterms:W3CDTF">2015-06-05T18:17:20Z</dcterms:created>
  <dcterms:modified xsi:type="dcterms:W3CDTF">2026-02-02T21:36:00Z</dcterms:modified>
  <cp:category/>
  <cp:contentStatus/>
</cp:coreProperties>
</file>