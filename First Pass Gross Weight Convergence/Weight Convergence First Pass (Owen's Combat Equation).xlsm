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eav\OneDrive\Documents\GitHub\AircraftDesignGroup6\First Pass Gross Weight Convergence\"/>
    </mc:Choice>
  </mc:AlternateContent>
  <xr:revisionPtr revIDLastSave="0" documentId="13_ncr:1_{5BCB2F3C-F71F-49A1-8870-2038A3DF2EB8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5" l="1"/>
  <c r="H32" i="5"/>
  <c r="H29" i="5"/>
  <c r="H28" i="5"/>
  <c r="F34" i="5"/>
  <c r="F32" i="5"/>
  <c r="F29" i="5"/>
  <c r="F28" i="5"/>
  <c r="H35" i="8"/>
  <c r="H33" i="8"/>
  <c r="H28" i="8"/>
  <c r="F35" i="8"/>
  <c r="F33" i="8"/>
  <c r="F28" i="8"/>
  <c r="H34" i="9"/>
  <c r="H32" i="9"/>
  <c r="H29" i="9"/>
  <c r="H28" i="9"/>
  <c r="F34" i="9"/>
  <c r="F32" i="9"/>
  <c r="F29" i="9"/>
  <c r="F28" i="9"/>
  <c r="F28" i="12"/>
  <c r="F35" i="12"/>
  <c r="F33" i="12"/>
  <c r="H35" i="12"/>
  <c r="H33" i="12"/>
  <c r="H28" i="12"/>
  <c r="X11" i="12"/>
  <c r="Z11" i="12" s="1"/>
  <c r="X10" i="12"/>
  <c r="Z10" i="12" s="1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2" i="12" s="1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Y23" i="8" l="1"/>
  <c r="K28" i="12"/>
  <c r="M28" i="12" s="1"/>
  <c r="Z47" i="12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D30" i="8"/>
  <c r="N4" i="12" l="1"/>
  <c r="R25" i="12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L28" i="12" s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L33" i="12" s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L35" i="12" s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G4" i="12" s="1"/>
  <c r="T36" i="12"/>
  <c r="U36" i="12" s="1"/>
  <c r="O7" i="12" l="1"/>
  <c r="N21" i="12"/>
  <c r="G9" i="12"/>
  <c r="G10" i="12" s="1"/>
  <c r="G5" i="12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J4" i="9"/>
  <c r="J4" i="8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L28" i="8" s="1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L33" i="8" s="1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<sst xmlns="http://schemas.openxmlformats.org/spreadsheetml/2006/main" count="573" uniqueCount="134">
  <si>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</si>
  <si>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</si>
  <si>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</si>
  <si>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</si>
  <si>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</si>
  <si>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</si>
  <si>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</si>
  <si>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</si>
  <si>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</si>
  <si>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</si>
  <si>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</si>
  <si>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</si>
  <si>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</si>
  <si>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</si>
  <si>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</si>
  <si>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</si>
  <si>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</si>
  <si>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</si>
  <si>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</si>
  <si>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</si>
  <si>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</si>
  <si>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</si>
  <si>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</si>
  <si>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</si>
  <si>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</si>
  <si>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</si>
  <si>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</si>
  <si>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</si>
  <si>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</si>
  <si>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</si>
  <si>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</si>
  <si>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</si>
  <si>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</si>
  <si>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</si>
  <si>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</si>
  <si>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</si>
  <si>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</si>
  <si>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</si>
  <si>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</si>
  <si>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</si>
  <si>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</si>
  <si>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</si>
  <si>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</si>
  <si>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</si>
  <si>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</si>
  <si>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</si>
  <si>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</si>
  <si>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</si>
  <si>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</si>
  <si>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</si>
  <si>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</si>
  <si>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</si>
  <si>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</si>
  <si>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</si>
  <si>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</si>
  <si>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</si>
  <si>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</si>
  <si>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</si>
  <si>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</si>
  <si>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</si>
  <si>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</si>
  <si>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</si>
  <si>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</si>
  <si>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</si>
  <si>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</si>
  <si>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</si>
  <si>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</si>
  <si>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</si>
  <si>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</si>
  <si>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</si>
  <si>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</si>
  <si>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</si>
  <si>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</si>
  <si>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</si>
  <si>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</si>
  <si>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</si>
  <si>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</si>
  <si>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</si>
  <si>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</si>
  <si>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</si>
  <si>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</si>
  <si>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</si>
  <si>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</si>
  <si>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</si>
  <si>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</si>
  <si>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</si>
  <si>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</si>
  <si>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</si>
  <si>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</si>
  <si>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</si>
  <si>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</si>
  <si>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</si>
  <si>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</si>
  <si>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</si>
  <si>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</si>
  <si>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</si>
  <si>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</si>
  <si>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</si>
  <si>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</si>
  <si>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</si>
  <si>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</si>
  <si>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</si>
  <si>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</si>
  <si>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</si>
  <si>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</si>
  <si>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</si>
  <si>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</si>
  <si>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</si>
  <si>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</si>
  <si>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</si>
  <si>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</si>
  <si>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</si>
  <si>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</si>
  <si>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</si>
  <si>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</si>
  <si>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</si>
  <si>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</si>
  <si>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</si>
  <si>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</si>
  <si>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</si>
  <si>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</si>
  <si>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</si>
  <si>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</si>
  <si>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</si>
  <si>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</si>
  <si>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</si>
  <si>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</si>
  <si>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</si>
  <si>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</si>
  <si>
    <t>Climb to 30 kft</t>
  </si>
  <si>
    <t>Loiter @ 10 kft</t>
  </si>
  <si>
    <t>Loiter @ 30000 ft</t>
  </si>
  <si>
    <t>Loiter @10000 ft</t>
  </si>
  <si>
    <t>Loiter @ 10000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</si>
</sst>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115" zoomScaleNormal="115" workbookViewId="0">
      <pane xSplit="2" topLeftCell="C1" activePane="topRight" state="frozen"/>
      <selection pane="topRight" activeCell="O28" sqref="O28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49428.624429052506</v>
      </c>
      <c r="H3" s="1" t="s">
        <v>7</v>
      </c>
      <c r="J3" s="79"/>
      <c r="M3" s="8" t="s">
        <v>13</v>
      </c>
      <c r="N3" s="20">
        <f>O3*0.4536</f>
        <v>22420.82404094877</v>
      </c>
      <c r="O3" s="20">
        <f>SUM(O4:O7)</f>
        <v>49428.624428899406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49428.624428899406</v>
      </c>
      <c r="H4" s="1" t="s">
        <v>7</v>
      </c>
      <c r="J4" s="1">
        <f>C3*$G$3^C4</f>
        <v>0.57411467655802217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0.55310056300121757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1.5310070011764765E-7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4.8352549309517906E-2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6.0693576539143819E-3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8799.6696409487704</v>
      </c>
      <c r="O7" s="20">
        <f>R45</f>
        <v>19399.624428899406</v>
      </c>
      <c r="P7" s="11">
        <f>O7/$O$3</f>
        <v>0.39247753003535008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19399.624429052506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19399.624428899406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1.5310070011764765E-7</v>
      </c>
      <c r="H10" s="1" t="s">
        <v>7</v>
      </c>
      <c r="M10" s="8" t="s">
        <v>40</v>
      </c>
      <c r="N10" s="12">
        <f>O10/3.28^2</f>
        <v>39.951491436337236</v>
      </c>
      <c r="O10" s="21">
        <f>O3/C9</f>
        <v>429.81412546869046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164.90204681783919</v>
      </c>
      <c r="O13" s="20">
        <f>C10*O3</f>
        <v>37071.468321674554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0.39247753003413444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49428.624429052506</v>
      </c>
      <c r="Q25" s="18">
        <f t="shared" ref="Q25:Q35" si="4">P25/$P$25</f>
        <v>1</v>
      </c>
      <c r="R25" s="27">
        <f t="shared" ref="R25:R35" si="5">P25*(1-O25)</f>
        <v>247.14312214526277</v>
      </c>
      <c r="S25" s="6">
        <v>0</v>
      </c>
      <c r="T25" s="29">
        <f t="shared" ref="T25:T35" si="6">P25-R25-S25</f>
        <v>49181.481306907241</v>
      </c>
      <c r="U25" s="18">
        <f t="shared" ref="U25:U35" si="7">T25/$P$25</f>
        <v>0.99499999999999988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49181.481306907241</v>
      </c>
      <c r="Q26" s="18">
        <f t="shared" si="4"/>
        <v>0.99499999999999988</v>
      </c>
      <c r="R26" s="27">
        <f t="shared" si="5"/>
        <v>491.81481306907284</v>
      </c>
      <c r="S26" s="6">
        <v>0</v>
      </c>
      <c r="T26" s="29">
        <f t="shared" si="6"/>
        <v>48689.666493838165</v>
      </c>
      <c r="U26" s="18">
        <f t="shared" si="7"/>
        <v>0.98504999999999987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48689.666493838165</v>
      </c>
      <c r="Q27" s="18">
        <f t="shared" si="4"/>
        <v>0.98504999999999987</v>
      </c>
      <c r="R27" s="27">
        <f t="shared" si="5"/>
        <v>973.79332987676412</v>
      </c>
      <c r="S27" s="6">
        <v>0</v>
      </c>
      <c r="T27" s="29">
        <f t="shared" si="6"/>
        <v>47715.873163961398</v>
      </c>
      <c r="U27" s="18">
        <f t="shared" si="7"/>
        <v>0.96534899999999979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850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0.88039045759927914</v>
      </c>
      <c r="P28" s="27">
        <f t="shared" ref="P28:P35" si="8">T27</f>
        <v>47715.873163961398</v>
      </c>
      <c r="Q28" s="18">
        <f t="shared" si="4"/>
        <v>0.96534899999999979</v>
      </c>
      <c r="R28" s="27">
        <f t="shared" si="5"/>
        <v>5707.2737543922594</v>
      </c>
      <c r="S28" s="6">
        <v>0</v>
      </c>
      <c r="T28" s="29">
        <f t="shared" si="6"/>
        <v>42008.599409569142</v>
      </c>
      <c r="U28" s="18">
        <f t="shared" si="7"/>
        <v>0.84988404785300642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131</v>
      </c>
      <c r="C29" s="5"/>
      <c r="D29" s="5">
        <v>15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331.87625280068619</v>
      </c>
      <c r="M29" s="24">
        <f>J29/K29</f>
        <v>14.14141414141414</v>
      </c>
      <c r="N29" s="19">
        <v>0.75</v>
      </c>
      <c r="O29" s="64">
        <f>EXP(-(D29*60)*(N29/3600)/(M29))</f>
        <v>0.98682858382150818</v>
      </c>
      <c r="P29" s="27">
        <f t="shared" si="8"/>
        <v>42008.599409569142</v>
      </c>
      <c r="Q29" s="18">
        <f t="shared" si="4"/>
        <v>0.84988404785300642</v>
      </c>
      <c r="R29" s="27">
        <f t="shared" si="5"/>
        <v>553.31274589898112</v>
      </c>
      <c r="S29" s="6">
        <v>0</v>
      </c>
      <c r="T29" s="29">
        <f t="shared" si="6"/>
        <v>41455.286663670158</v>
      </c>
      <c r="U29" s="18">
        <f t="shared" si="7"/>
        <v>0.83868987135527318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0.8897089339465547</v>
      </c>
      <c r="P30" s="27">
        <f t="shared" si="8"/>
        <v>41455.286663670158</v>
      </c>
      <c r="Q30" s="18">
        <f t="shared" si="4"/>
        <v>0.83868987135527318</v>
      </c>
      <c r="R30" s="27">
        <f t="shared" si="5"/>
        <v>4572.1477596873556</v>
      </c>
      <c r="S30" s="6">
        <v>0</v>
      </c>
      <c r="T30" s="29">
        <f t="shared" si="6"/>
        <v>36883.138903982806</v>
      </c>
      <c r="U30" s="18">
        <f t="shared" si="7"/>
        <v>0.74618987135527326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36883.138903982806</v>
      </c>
      <c r="Q31" s="18">
        <f t="shared" si="4"/>
        <v>0.74618987135527326</v>
      </c>
      <c r="R31" s="27">
        <f t="shared" si="5"/>
        <v>0</v>
      </c>
      <c r="S31" s="6">
        <v>2390</v>
      </c>
      <c r="T31" s="29">
        <f t="shared" si="6"/>
        <v>34493.138903982806</v>
      </c>
      <c r="U31" s="18">
        <f t="shared" si="7"/>
        <v>0.6978373220459051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81</v>
      </c>
      <c r="C32" s="5">
        <v>850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397.82535571433192</v>
      </c>
      <c r="M32" s="24">
        <f>J32/K32</f>
        <v>12.121212121212121</v>
      </c>
      <c r="N32" s="19">
        <v>0.85</v>
      </c>
      <c r="O32" s="64">
        <f>EXP(-6076.12*C32*(N32/3600)/(1.68781*L32*M32))</f>
        <v>0.86085405778892488</v>
      </c>
      <c r="P32" s="27">
        <f t="shared" si="8"/>
        <v>34493.138903982806</v>
      </c>
      <c r="Q32" s="18">
        <f t="shared" si="4"/>
        <v>0.6978373220459051</v>
      </c>
      <c r="R32" s="27">
        <f t="shared" si="5"/>
        <v>4799.5803126121791</v>
      </c>
      <c r="S32" s="6">
        <v>0</v>
      </c>
      <c r="T32" s="29">
        <f t="shared" si="6"/>
        <v>29693.558591370627</v>
      </c>
      <c r="U32" s="18">
        <f t="shared" si="7"/>
        <v>0.60073609035977416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29693.558591370627</v>
      </c>
      <c r="Q33" s="18">
        <f t="shared" si="4"/>
        <v>0.60073609035977416</v>
      </c>
      <c r="R33" s="27">
        <f t="shared" si="5"/>
        <v>296.93558591370652</v>
      </c>
      <c r="S33" s="6">
        <v>0</v>
      </c>
      <c r="T33" s="29">
        <f t="shared" si="6"/>
        <v>29396.623005456921</v>
      </c>
      <c r="U33" s="18">
        <f t="shared" si="7"/>
        <v>0.59472872945617639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133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197.42150921675227</v>
      </c>
      <c r="M34" s="24">
        <f>J34/K34</f>
        <v>14.14141414141414</v>
      </c>
      <c r="N34" s="19">
        <v>0.75</v>
      </c>
      <c r="O34" s="64">
        <f>EXP(-(D34*60)*(N34/3600)/(M34))</f>
        <v>0.98247677771791597</v>
      </c>
      <c r="P34" s="27">
        <f t="shared" si="8"/>
        <v>29396.623005456921</v>
      </c>
      <c r="Q34" s="18">
        <f t="shared" si="4"/>
        <v>0.59472872945617639</v>
      </c>
      <c r="R34" s="27">
        <f t="shared" si="5"/>
        <v>515.12355926724661</v>
      </c>
      <c r="S34" s="6">
        <v>0</v>
      </c>
      <c r="T34" s="29">
        <f t="shared" si="6"/>
        <v>28881.499446189675</v>
      </c>
      <c r="U34" s="18">
        <f t="shared" si="7"/>
        <v>0.5843071657323744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28881.499446189675</v>
      </c>
      <c r="Q35" s="18">
        <f t="shared" si="4"/>
        <v>0.5843071657323744</v>
      </c>
      <c r="R35" s="27">
        <f t="shared" si="5"/>
        <v>144.40749723094851</v>
      </c>
      <c r="S35" s="6">
        <v>0</v>
      </c>
      <c r="T35" s="29">
        <f t="shared" si="6"/>
        <v>28737.091948958725</v>
      </c>
      <c r="U35" s="18">
        <f t="shared" si="7"/>
        <v>0.58138562990371256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1" t="s">
        <v>86</v>
      </c>
      <c r="R43" s="32">
        <f>SUM(R25:R40)</f>
        <v>18301.532480093778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87</v>
      </c>
      <c r="R44" s="32">
        <f>R43*C21</f>
        <v>1098.0919488056265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88</v>
      </c>
      <c r="R45" s="32">
        <f>R43+R44</f>
        <v>19399.624428899406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topLeftCell="A19" zoomScale="115" zoomScaleNormal="115" workbookViewId="0">
      <pane xSplit="2" topLeftCell="C1" activePane="topRight" state="frozen"/>
      <selection pane="topRight" activeCell="O26" sqref="O26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40052.392626645364</v>
      </c>
      <c r="H3" s="1" t="s">
        <v>7</v>
      </c>
      <c r="J3" s="79"/>
      <c r="M3" s="8" t="s">
        <v>13</v>
      </c>
      <c r="N3" s="20">
        <f>O3*0.4536</f>
        <v>18167.765295446345</v>
      </c>
      <c r="O3" s="20">
        <f>SUM(O4:O7)</f>
        <v>40052.392626645378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40052.392626645378</v>
      </c>
      <c r="H4" s="1" t="s">
        <v>7</v>
      </c>
      <c r="J4" s="1">
        <f>C3*$G$3^C4</f>
        <v>0.59003008577018057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0.68258094478511555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0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5.9671840887977841E-2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7.4901892328005665E-3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4546.6108954463443</v>
      </c>
      <c r="O7" s="20">
        <f>R45</f>
        <v>10023.39262664538</v>
      </c>
      <c r="P7" s="11">
        <f>O7/$O$3</f>
        <v>0.25025702509410602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10023.392626645364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10023.39262664538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-1.6370904631912708E-11</v>
      </c>
      <c r="H10" s="1" t="s">
        <v>7</v>
      </c>
      <c r="M10" s="8" t="s">
        <v>40</v>
      </c>
      <c r="N10" s="12">
        <f>O10/3.28^2</f>
        <v>32.372999239134785</v>
      </c>
      <c r="O10" s="21">
        <f>O3/C9</f>
        <v>348.28167501430761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133.62139044727238</v>
      </c>
      <c r="O13" s="20">
        <f>C10*O3</f>
        <v>30039.294469984034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0.25025702509410613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40052.392626645364</v>
      </c>
      <c r="Q25" s="18">
        <f t="shared" ref="Q25:Q35" si="4">P25/$P$25</f>
        <v>1</v>
      </c>
      <c r="R25" s="27">
        <f t="shared" ref="R25:R35" si="5">P25*(1-O25)</f>
        <v>200.261963133227</v>
      </c>
      <c r="S25" s="6">
        <v>0</v>
      </c>
      <c r="T25" s="29">
        <f t="shared" ref="T25:T35" si="6">P25-R25-S25</f>
        <v>39852.130663512136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39852.130663512136</v>
      </c>
      <c r="Q26" s="18">
        <f t="shared" si="4"/>
        <v>0.995</v>
      </c>
      <c r="R26" s="27">
        <f t="shared" si="5"/>
        <v>398.52130663512173</v>
      </c>
      <c r="S26" s="6">
        <v>0</v>
      </c>
      <c r="T26" s="29">
        <f t="shared" si="6"/>
        <v>39453.609356877016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39453.609356877016</v>
      </c>
      <c r="Q27" s="18">
        <f t="shared" si="4"/>
        <v>0.98504999999999998</v>
      </c>
      <c r="R27" s="27">
        <f t="shared" si="5"/>
        <v>789.07218713754105</v>
      </c>
      <c r="S27" s="6">
        <v>0</v>
      </c>
      <c r="T27" s="29">
        <f t="shared" si="6"/>
        <v>38664.537169739473</v>
      </c>
      <c r="U27" s="18">
        <f t="shared" si="7"/>
        <v>0.9653489999999999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0.7</v>
      </c>
      <c r="O28" s="64">
        <f>EXP(-6076.12*C28*(N28/3600)/(1.68781*L28*M28))</f>
        <v>0.91723109279491</v>
      </c>
      <c r="P28" s="27">
        <f t="shared" ref="P28:P35" si="8">T27</f>
        <v>38664.537169739473</v>
      </c>
      <c r="Q28" s="18">
        <f t="shared" si="4"/>
        <v>0.9653489999999999</v>
      </c>
      <c r="R28" s="27">
        <f t="shared" si="5"/>
        <v>3200.2214891299195</v>
      </c>
      <c r="S28" s="6">
        <v>0</v>
      </c>
      <c r="T28" s="29">
        <f t="shared" si="6"/>
        <v>35464.31568060955</v>
      </c>
      <c r="U28" s="18">
        <f t="shared" si="7"/>
        <v>0.88544811819847347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131</v>
      </c>
      <c r="C29" s="5"/>
      <c r="D29" s="5">
        <v>30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338.74890391521552</v>
      </c>
      <c r="M29" s="24">
        <f>J29/K29</f>
        <v>14.14141414141414</v>
      </c>
      <c r="N29" s="19">
        <v>0.7</v>
      </c>
      <c r="O29" s="64">
        <f>EXP(-(D29*60)*(N29/3600)/(M29))</f>
        <v>0.97555376998731458</v>
      </c>
      <c r="P29" s="27">
        <f t="shared" si="8"/>
        <v>35464.31568060955</v>
      </c>
      <c r="Q29" s="18">
        <f t="shared" si="4"/>
        <v>0.88544811819847347</v>
      </c>
      <c r="R29" s="27">
        <f t="shared" si="5"/>
        <v>866.96881837066735</v>
      </c>
      <c r="S29" s="6">
        <v>0</v>
      </c>
      <c r="T29" s="29">
        <f t="shared" si="6"/>
        <v>34597.346862238883</v>
      </c>
      <c r="U29" s="18">
        <f t="shared" si="7"/>
        <v>0.86380224983669407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34597.346862238883</v>
      </c>
      <c r="Q30" s="18">
        <f t="shared" si="4"/>
        <v>0.86380224983669407</v>
      </c>
      <c r="R30" s="27">
        <f t="shared" si="5"/>
        <v>0</v>
      </c>
      <c r="S30" s="6">
        <v>0</v>
      </c>
      <c r="T30" s="29">
        <f t="shared" si="6"/>
        <v>34597.346862238883</v>
      </c>
      <c r="U30" s="18">
        <f t="shared" si="7"/>
        <v>0.86380224983669407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34597.346862238883</v>
      </c>
      <c r="Q31" s="18">
        <f t="shared" si="4"/>
        <v>0.86380224983669407</v>
      </c>
      <c r="R31" s="27">
        <f t="shared" si="5"/>
        <v>0</v>
      </c>
      <c r="S31" s="6">
        <v>0</v>
      </c>
      <c r="T31" s="29">
        <f t="shared" si="6"/>
        <v>34597.346862238883</v>
      </c>
      <c r="U31" s="18">
        <f t="shared" si="7"/>
        <v>0.86380224983669407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442.61133197302422</v>
      </c>
      <c r="M32" s="24">
        <f>J32/K32</f>
        <v>12.121212121212121</v>
      </c>
      <c r="N32" s="19">
        <v>0.7</v>
      </c>
      <c r="O32" s="64">
        <f>EXP(-6076.12*C32*(N32/3600)/(1.68781*L32*M32))</f>
        <v>0.91271371459705819</v>
      </c>
      <c r="P32" s="27">
        <f t="shared" si="8"/>
        <v>34597.346862238883</v>
      </c>
      <c r="Q32" s="18">
        <f t="shared" si="4"/>
        <v>0.86380224983669407</v>
      </c>
      <c r="R32" s="27">
        <f t="shared" si="5"/>
        <v>3019.8738924019563</v>
      </c>
      <c r="S32" s="6">
        <v>0</v>
      </c>
      <c r="T32" s="29">
        <f t="shared" si="6"/>
        <v>31577.472969836926</v>
      </c>
      <c r="U32" s="18">
        <f t="shared" si="7"/>
        <v>0.78840416012574521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31577.472969836926</v>
      </c>
      <c r="Q33" s="18">
        <f t="shared" si="4"/>
        <v>0.78840416012574521</v>
      </c>
      <c r="R33" s="27">
        <f t="shared" si="5"/>
        <v>315.77472969836953</v>
      </c>
      <c r="S33" s="6">
        <v>0</v>
      </c>
      <c r="T33" s="29">
        <f t="shared" si="6"/>
        <v>31261.698240138558</v>
      </c>
      <c r="U33" s="18">
        <f t="shared" si="7"/>
        <v>0.78052011852448777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132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226.16586575364363</v>
      </c>
      <c r="M34" s="24">
        <f>J34/K34</f>
        <v>14.14141414141414</v>
      </c>
      <c r="N34" s="19">
        <v>0.7</v>
      </c>
      <c r="O34" s="64">
        <f>EXP(-(D34*60)*(N34/3600)/(M34))</f>
        <v>0.98363537939067236</v>
      </c>
      <c r="P34" s="27">
        <f t="shared" si="8"/>
        <v>31261.698240138558</v>
      </c>
      <c r="Q34" s="18">
        <f t="shared" si="4"/>
        <v>0.78052011852448777</v>
      </c>
      <c r="R34" s="27">
        <f t="shared" si="5"/>
        <v>511.58583130315304</v>
      </c>
      <c r="S34" s="6">
        <v>0</v>
      </c>
      <c r="T34" s="29">
        <f t="shared" si="6"/>
        <v>30750.112408835404</v>
      </c>
      <c r="U34" s="18">
        <f t="shared" si="7"/>
        <v>0.76774720290688703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30750.112408835404</v>
      </c>
      <c r="Q35" s="18">
        <f t="shared" si="4"/>
        <v>0.76774720290688703</v>
      </c>
      <c r="R35" s="27">
        <f t="shared" si="5"/>
        <v>153.75056204417717</v>
      </c>
      <c r="S35" s="6">
        <v>0</v>
      </c>
      <c r="T35" s="29">
        <f t="shared" si="6"/>
        <v>30596.361846791227</v>
      </c>
      <c r="U35" s="18">
        <f t="shared" si="7"/>
        <v>0.76390846689235259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1" t="s">
        <v>86</v>
      </c>
      <c r="R43" s="32">
        <f>SUM(R25:R40)</f>
        <v>9456.0307798541326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87</v>
      </c>
      <c r="R44" s="32">
        <f>R43*C21</f>
        <v>567.3618467912479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88</v>
      </c>
      <c r="R45" s="32">
        <f>R43+R44</f>
        <v>10023.39262664538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3" priority="2" rank="1"/>
  </conditionalFormatting>
  <conditionalFormatting sqref="Z8:Z44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zoomScale="115" zoomScaleNormal="115" workbookViewId="0">
      <pane xSplit="2" topLeftCell="C1" activePane="topRight" state="frozen"/>
      <selection pane="topRight" activeCell="O26" sqref="O26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49972.099587118835</v>
      </c>
      <c r="H3" s="1" t="s">
        <v>7</v>
      </c>
      <c r="J3" s="79"/>
      <c r="M3" s="8" t="s">
        <v>13</v>
      </c>
      <c r="N3" s="20">
        <f>O3*0.4536</f>
        <v>22667.344372602893</v>
      </c>
      <c r="O3" s="20">
        <f>SUM(O4:O7)</f>
        <v>49972.099586867043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49972.099586867043</v>
      </c>
      <c r="H4" s="1" t="s">
        <v>7</v>
      </c>
      <c r="J4" s="1">
        <f>C3*$G$3^C4</f>
        <v>0.57329911298195724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0.54708527810556207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2.5179178919643164E-7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8.7648908815332008E-2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6.0033499188583573E-3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8143.5259726028908</v>
      </c>
      <c r="O7" s="20">
        <f>R46</f>
        <v>17953.099586867043</v>
      </c>
      <c r="P7" s="11">
        <f>O7/$O$3</f>
        <v>0.35926246316024757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17953.099587118835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17953.099586867043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2.5179178919643164E-7</v>
      </c>
      <c r="H10" s="1" t="s">
        <v>7</v>
      </c>
      <c r="M10" s="8" t="s">
        <v>40</v>
      </c>
      <c r="N10" s="12">
        <f>O10/3.28^2</f>
        <v>40.390764092015502</v>
      </c>
      <c r="O10" s="21">
        <f>O3/C9</f>
        <v>434.53999640753949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166.7151696182203</v>
      </c>
      <c r="O13" s="20">
        <f>C10*O3</f>
        <v>37479.074690150286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0.35926246315843735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49972.099587118835</v>
      </c>
      <c r="Q25" s="18">
        <f t="shared" ref="Q25:Q36" si="4">P25/$P$25</f>
        <v>1</v>
      </c>
      <c r="R25" s="27">
        <f t="shared" ref="R25:R36" si="5">P25*(1-O25)</f>
        <v>249.8604979355944</v>
      </c>
      <c r="S25" s="6">
        <v>0</v>
      </c>
      <c r="T25" s="29">
        <f t="shared" ref="T25:T36" si="6">P25-R25-S25</f>
        <v>49722.23908918324</v>
      </c>
      <c r="U25" s="18">
        <f t="shared" ref="U25:U36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49722.23908918324</v>
      </c>
      <c r="Q26" s="18">
        <f t="shared" si="4"/>
        <v>0.995</v>
      </c>
      <c r="R26" s="27">
        <f t="shared" si="5"/>
        <v>497.22239089183284</v>
      </c>
      <c r="S26" s="6">
        <v>0</v>
      </c>
      <c r="T26" s="29">
        <f t="shared" si="6"/>
        <v>49225.016698291409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128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0.98</v>
      </c>
      <c r="P27" s="27">
        <f>T26</f>
        <v>49225.016698291409</v>
      </c>
      <c r="Q27" s="18">
        <f t="shared" si="4"/>
        <v>0.98504999999999998</v>
      </c>
      <c r="R27" s="27">
        <f t="shared" si="5"/>
        <v>984.5003339658291</v>
      </c>
      <c r="S27" s="6">
        <v>0</v>
      </c>
      <c r="T27" s="29">
        <f t="shared" si="6"/>
        <v>48240.51636432558</v>
      </c>
      <c r="U27" s="18">
        <f t="shared" si="7"/>
        <v>0.96534900000000001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650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0.90717880895518721</v>
      </c>
      <c r="P28" s="27">
        <f t="shared" ref="P28:P36" si="8">T27</f>
        <v>48240.51636432558</v>
      </c>
      <c r="Q28" s="18">
        <f t="shared" si="4"/>
        <v>0.96534900000000001</v>
      </c>
      <c r="R28" s="27">
        <f t="shared" si="5"/>
        <v>4477.7421855534822</v>
      </c>
      <c r="S28" s="6">
        <v>0</v>
      </c>
      <c r="T28" s="29">
        <f t="shared" si="6"/>
        <v>43762.774178772095</v>
      </c>
      <c r="U28" s="18">
        <f t="shared" si="7"/>
        <v>0.87574415604608091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43762.774178772095</v>
      </c>
      <c r="Q29" s="18">
        <f t="shared" si="4"/>
        <v>0.87574415604608091</v>
      </c>
      <c r="R29" s="27">
        <f t="shared" si="5"/>
        <v>437.62774178772133</v>
      </c>
      <c r="S29" s="6">
        <v>0</v>
      </c>
      <c r="T29" s="29">
        <f t="shared" si="6"/>
        <v>43325.146436984374</v>
      </c>
      <c r="U29" s="18">
        <f t="shared" si="7"/>
        <v>0.86698671448562015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0.85</v>
      </c>
      <c r="O30" s="64">
        <f>1-(1/Q30)*C10*N30*(D30/60)</f>
        <v>0.87641926300286555</v>
      </c>
      <c r="P30" s="27">
        <f t="shared" si="8"/>
        <v>43325.146436984374</v>
      </c>
      <c r="Q30" s="18">
        <f t="shared" si="4"/>
        <v>0.86698671448562015</v>
      </c>
      <c r="R30" s="27">
        <f t="shared" si="5"/>
        <v>5354.1535271913026</v>
      </c>
      <c r="S30" s="6">
        <v>0</v>
      </c>
      <c r="T30" s="29">
        <f t="shared" si="6"/>
        <v>37970.992909793073</v>
      </c>
      <c r="U30" s="18">
        <f t="shared" si="7"/>
        <v>0.75984385734276305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37970.992909793073</v>
      </c>
      <c r="Q31" s="18">
        <f t="shared" si="4"/>
        <v>0.75984385734276305</v>
      </c>
      <c r="R31" s="27">
        <f t="shared" si="5"/>
        <v>0</v>
      </c>
      <c r="S31" s="5">
        <v>4380</v>
      </c>
      <c r="T31" s="29">
        <f t="shared" si="6"/>
        <v>33590.992909793073</v>
      </c>
      <c r="U31" s="18">
        <f t="shared" si="7"/>
        <v>0.67219494852787265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129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33590.992909793073</v>
      </c>
      <c r="Q32" s="18">
        <f t="shared" si="4"/>
        <v>0.67219494852787265</v>
      </c>
      <c r="R32" s="27">
        <f t="shared" si="5"/>
        <v>671.81985819586203</v>
      </c>
      <c r="S32" s="6">
        <v>0</v>
      </c>
      <c r="T32" s="29">
        <f t="shared" si="6"/>
        <v>32919.173051597209</v>
      </c>
      <c r="U32" s="18">
        <f t="shared" si="7"/>
        <v>0.65875104955731512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81</v>
      </c>
      <c r="C33" s="5">
        <v>650</v>
      </c>
      <c r="D33" s="5"/>
      <c r="E33" s="5">
        <v>8.8999999999999995E-4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390.44780490994737</v>
      </c>
      <c r="M33" s="24">
        <f>J33/K33</f>
        <v>12.121212121212121</v>
      </c>
      <c r="N33" s="19">
        <v>0.75</v>
      </c>
      <c r="O33" s="64">
        <f>EXP(-6076.12*C33*(N33/3600)/(1.68781*L33*M33))</f>
        <v>0.9021208447554917</v>
      </c>
      <c r="P33" s="27">
        <f>T31</f>
        <v>33590.992909793073</v>
      </c>
      <c r="Q33" s="18">
        <f t="shared" si="4"/>
        <v>0.67219494852787265</v>
      </c>
      <c r="R33" s="27">
        <f t="shared" si="5"/>
        <v>3287.8580098348139</v>
      </c>
      <c r="S33" s="6">
        <v>0</v>
      </c>
      <c r="T33" s="29">
        <f t="shared" si="6"/>
        <v>30303.134899958259</v>
      </c>
      <c r="U33" s="18">
        <f t="shared" si="7"/>
        <v>0.60640107480633876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30303.134899958259</v>
      </c>
      <c r="Q34" s="18">
        <f t="shared" si="4"/>
        <v>0.60640107480633876</v>
      </c>
      <c r="R34" s="27">
        <f t="shared" si="5"/>
        <v>303.03134899958286</v>
      </c>
      <c r="S34" s="6">
        <v>0</v>
      </c>
      <c r="T34" s="29">
        <f t="shared" si="6"/>
        <v>30000.103550958676</v>
      </c>
      <c r="U34" s="18">
        <f t="shared" si="7"/>
        <v>0.60033706405827536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3"/>
      <c r="AB34" s="33"/>
      <c r="AC34" s="33"/>
    </row>
    <row r="35" spans="1:29" x14ac:dyDescent="0.3">
      <c r="A35" s="1">
        <v>11</v>
      </c>
      <c r="B35" s="5" t="s">
        <v>83</v>
      </c>
      <c r="C35" s="5"/>
      <c r="D35" s="5">
        <v>20</v>
      </c>
      <c r="E35" s="5">
        <v>1.7600000000000001E-3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198.35017450925844</v>
      </c>
      <c r="M35" s="24">
        <f>J35/K35</f>
        <v>14.14141414141414</v>
      </c>
      <c r="N35" s="19">
        <v>0.75</v>
      </c>
      <c r="O35" s="64">
        <f>EXP(-(D35*60)*(N35/3600)/(M35))</f>
        <v>0.98247677771791597</v>
      </c>
      <c r="P35" s="27">
        <f t="shared" si="8"/>
        <v>30000.103550958676</v>
      </c>
      <c r="Q35" s="18">
        <f t="shared" si="4"/>
        <v>0.60033706405827536</v>
      </c>
      <c r="R35" s="27">
        <f t="shared" si="5"/>
        <v>525.6984830089873</v>
      </c>
      <c r="S35" s="6">
        <v>0</v>
      </c>
      <c r="T35" s="29">
        <f t="shared" si="6"/>
        <v>29474.40506794969</v>
      </c>
      <c r="U35" s="18">
        <f t="shared" si="7"/>
        <v>0.58981722424060856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  <c r="AA35" s="34"/>
      <c r="AB35" s="34"/>
      <c r="AC35" s="34"/>
    </row>
    <row r="36" spans="1:29" x14ac:dyDescent="0.3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29474.40506794969</v>
      </c>
      <c r="Q36" s="18">
        <f t="shared" si="4"/>
        <v>0.58981722424060856</v>
      </c>
      <c r="R36" s="27">
        <f t="shared" si="5"/>
        <v>147.37202533974857</v>
      </c>
      <c r="S36" s="6">
        <v>0</v>
      </c>
      <c r="T36" s="29">
        <f t="shared" si="6"/>
        <v>29327.033042609943</v>
      </c>
      <c r="U36" s="18">
        <f t="shared" si="7"/>
        <v>0.58686813811940552</v>
      </c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"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">
      <c r="Q43" s="80" t="s">
        <v>85</v>
      </c>
      <c r="R43" s="81"/>
      <c r="S43" s="82"/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">
      <c r="Q44" s="1" t="s">
        <v>86</v>
      </c>
      <c r="R44" s="32">
        <f>SUM(R25:R41)</f>
        <v>16936.886402704757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">
      <c r="Q45" s="1" t="s">
        <v>87</v>
      </c>
      <c r="R45" s="32">
        <f>R44*C21</f>
        <v>1016.2131841622854</v>
      </c>
      <c r="S45" s="1" t="s">
        <v>7</v>
      </c>
    </row>
    <row r="46" spans="1:29" x14ac:dyDescent="0.3">
      <c r="Q46" s="1" t="s">
        <v>88</v>
      </c>
      <c r="R46" s="32">
        <f>R44+R45</f>
        <v>17953.099586867043</v>
      </c>
      <c r="S46" s="1" t="s">
        <v>7</v>
      </c>
    </row>
  </sheetData>
  <mergeCells count="12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1:Y1048576">
    <cfRule type="top10" dxfId="1" priority="2" rank="1"/>
  </conditionalFormatting>
  <conditionalFormatting sqref="Z1:Z1048576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tabSelected="1" zoomScale="74" zoomScaleNormal="115" workbookViewId="0">
      <pane xSplit="2" topLeftCell="C1" activePane="topRight" state="frozen"/>
      <selection pane="topRight" activeCell="R18" sqref="R18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61956.008810819454</v>
      </c>
      <c r="H3" s="1" t="s">
        <v>7</v>
      </c>
      <c r="J3" s="79"/>
      <c r="M3" s="8" t="s">
        <v>13</v>
      </c>
      <c r="N3" s="20">
        <f>O3*0.4536</f>
        <v>28103.245596572666</v>
      </c>
      <c r="O3" s="20">
        <f>SUM(O4:O7)</f>
        <v>61956.008810786298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61956.008810786298</v>
      </c>
      <c r="H4" s="1" t="s">
        <v>7</v>
      </c>
      <c r="J4" s="1">
        <f>C3*$G$3^C4</f>
        <v>0.55750017897049675</v>
      </c>
      <c r="M4" s="8" t="s">
        <v>16</v>
      </c>
      <c r="N4" s="20">
        <f t="shared" ref="N4:N7" si="0">O4*0.4536</f>
        <v>15667.564449749469</v>
      </c>
      <c r="O4" s="20">
        <f>J4*G3</f>
        <v>34540.486000329518</v>
      </c>
      <c r="P4" s="11">
        <f>O4/$O$3</f>
        <v>0.55750017897079507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3.3156538847833872E-8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7.0695322117609663E-2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4.8421453505212101E-3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10312.833146823197</v>
      </c>
      <c r="O7" s="20">
        <f>R46</f>
        <v>22735.522810456783</v>
      </c>
      <c r="P7" s="11">
        <f>O7/$O$3</f>
        <v>0.36696235356107409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22735.522810489936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22735.522810456783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0.75</v>
      </c>
      <c r="D10" s="2"/>
      <c r="F10" s="1" t="s">
        <v>39</v>
      </c>
      <c r="G10" s="32">
        <f>G8-G9</f>
        <v>3.315290086902678E-8</v>
      </c>
      <c r="H10" s="1" t="s">
        <v>7</v>
      </c>
      <c r="M10" s="8" t="s">
        <v>40</v>
      </c>
      <c r="N10" s="12">
        <f>O10/3.28^2</f>
        <v>50.076954073327784</v>
      </c>
      <c r="O10" s="21">
        <f>O3/C9</f>
        <v>538.74790270248957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>$C$12+$C$13*W11+$C$14*W11^2+$C$15</f>
        <v>2.5031250000000001E-2</v>
      </c>
      <c r="Y11" s="67">
        <f t="shared" ref="Y11:Y50" si="1">W11/X11</f>
        <v>0.99875156054931336</v>
      </c>
      <c r="Z11" s="67">
        <f t="shared" ref="Z11:Z50" si="2">W11^(1/2)/X11</f>
        <v>6.3166594959667997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2:X50" si="3">$C$12+$C$13*W12+$C$14*W12^2+$C$15</f>
        <v>2.5125000000000001E-2</v>
      </c>
      <c r="Y12" s="67">
        <f t="shared" si="1"/>
        <v>1.9900497512437811</v>
      </c>
      <c r="Z12" s="67">
        <f>W12^(1/2)/X12</f>
        <v>8.8997730447752819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206.69546813423688</v>
      </c>
      <c r="O13" s="20">
        <f>C10*O3</f>
        <v>46467.006608089723</v>
      </c>
      <c r="P13" s="13"/>
      <c r="V13" s="9"/>
      <c r="W13" s="68">
        <v>7.4999999999999997E-2</v>
      </c>
      <c r="X13" s="67">
        <f t="shared" si="3"/>
        <v>2.5281250000000002E-2</v>
      </c>
      <c r="Y13" s="67">
        <f t="shared" si="1"/>
        <v>2.9666254635352285</v>
      </c>
      <c r="Z13" s="67">
        <f t="shared" si="2"/>
        <v>10.832584573649761</v>
      </c>
    </row>
    <row r="14" spans="2:29" x14ac:dyDescent="0.3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3"/>
        <v>2.5500000000000002E-2</v>
      </c>
      <c r="Y14" s="67">
        <f t="shared" si="1"/>
        <v>3.9215686274509802</v>
      </c>
      <c r="Z14" s="67">
        <f t="shared" si="2"/>
        <v>12.401088863405409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2.5781250000000002E-2</v>
      </c>
      <c r="Y15" s="67">
        <f t="shared" si="1"/>
        <v>4.8484848484848477</v>
      </c>
      <c r="Z15" s="67">
        <f t="shared" si="2"/>
        <v>13.713586059375467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3"/>
        <v>2.6125000000000002E-2</v>
      </c>
      <c r="Y16" s="67">
        <f t="shared" si="1"/>
        <v>5.7416267942583721</v>
      </c>
      <c r="Z16" s="67">
        <f t="shared" si="2"/>
        <v>14.824816636200637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2.6531250000000003E-2</v>
      </c>
      <c r="Y17" s="67">
        <f t="shared" si="1"/>
        <v>6.5959952885747928</v>
      </c>
      <c r="Z17" s="67">
        <f t="shared" si="2"/>
        <v>15.767444551878926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3"/>
        <v>2.7000000000000003E-2</v>
      </c>
      <c r="Y18" s="67">
        <f t="shared" si="1"/>
        <v>7.4074074074074066</v>
      </c>
      <c r="Z18" s="67">
        <f t="shared" si="2"/>
        <v>16.563466499998441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3"/>
        <v>2.753125E-2</v>
      </c>
      <c r="Y19" s="67">
        <f t="shared" si="1"/>
        <v>8.172531214528945</v>
      </c>
      <c r="Z19" s="67">
        <f t="shared" si="2"/>
        <v>17.229208591155754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3"/>
        <v>2.8125000000000001E-2</v>
      </c>
      <c r="Y20" s="67">
        <f t="shared" si="1"/>
        <v>8.8888888888888893</v>
      </c>
      <c r="Z20" s="67">
        <f t="shared" si="2"/>
        <v>17.777777777777779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0.3669623535608777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2.8781250000000001E-2</v>
      </c>
      <c r="Y21" s="67">
        <f t="shared" si="1"/>
        <v>9.5548317046688389</v>
      </c>
      <c r="Z21" s="67">
        <f t="shared" si="2"/>
        <v>18.220349153878853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2.9500000000000002E-2</v>
      </c>
      <c r="Y22" s="67">
        <f t="shared" si="1"/>
        <v>10.169491525423728</v>
      </c>
      <c r="Z22" s="67">
        <f t="shared" si="2"/>
        <v>18.566866356107322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3.0281250000000003E-2</v>
      </c>
      <c r="Y23" s="67">
        <f t="shared" si="1"/>
        <v>10.732714138286893</v>
      </c>
      <c r="Z23" s="67">
        <f t="shared" si="2"/>
        <v>18.826426007828903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3.1125E-2</v>
      </c>
      <c r="Y24" s="67">
        <f t="shared" si="1"/>
        <v>11.244979919678714</v>
      </c>
      <c r="Z24" s="67">
        <f t="shared" si="2"/>
        <v>19.007485246906395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61956.008810819454</v>
      </c>
      <c r="Q25" s="18">
        <f t="shared" ref="Q25:Q36" si="4">P25/$P$25</f>
        <v>1</v>
      </c>
      <c r="R25" s="27">
        <f t="shared" ref="R25:R36" si="5">P25*(1-O25)</f>
        <v>309.78004405409757</v>
      </c>
      <c r="S25" s="6">
        <v>0</v>
      </c>
      <c r="T25" s="29">
        <f t="shared" ref="T25:T36" si="6">P25-R25-S25</f>
        <v>61646.228766765358</v>
      </c>
      <c r="U25" s="18">
        <f t="shared" ref="U25:U36" si="7">T25/$P$25</f>
        <v>0.995</v>
      </c>
      <c r="V25" s="33"/>
      <c r="W25" s="68">
        <v>0.375</v>
      </c>
      <c r="X25" s="67">
        <f t="shared" si="3"/>
        <v>3.2031250000000004E-2</v>
      </c>
      <c r="Y25" s="67">
        <f t="shared" si="1"/>
        <v>11.70731707317073</v>
      </c>
      <c r="Z25" s="67">
        <f t="shared" si="2"/>
        <v>19.117968724161386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61646.228766765358</v>
      </c>
      <c r="Q26" s="18">
        <f t="shared" si="4"/>
        <v>0.995</v>
      </c>
      <c r="R26" s="27">
        <f t="shared" si="5"/>
        <v>616.4622876676541</v>
      </c>
      <c r="S26" s="6">
        <v>0</v>
      </c>
      <c r="T26" s="29">
        <f t="shared" si="6"/>
        <v>61029.766479097707</v>
      </c>
      <c r="U26" s="18">
        <f t="shared" si="7"/>
        <v>0.98505000000000009</v>
      </c>
      <c r="V26" s="33"/>
      <c r="W26" s="68">
        <v>0.4</v>
      </c>
      <c r="X26" s="67">
        <f t="shared" si="3"/>
        <v>3.3000000000000002E-2</v>
      </c>
      <c r="Y26" s="67">
        <f t="shared" si="1"/>
        <v>12.121212121212121</v>
      </c>
      <c r="Z26" s="67">
        <f t="shared" si="2"/>
        <v>19.165319152535631</v>
      </c>
      <c r="AA26" s="33"/>
      <c r="AB26" s="33"/>
      <c r="AC26" s="33"/>
    </row>
    <row r="27" spans="1:29" x14ac:dyDescent="0.3">
      <c r="A27" s="1">
        <v>3</v>
      </c>
      <c r="B27" s="5" t="s">
        <v>129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61029.766479097707</v>
      </c>
      <c r="Q27" s="18">
        <f t="shared" si="4"/>
        <v>0.98505000000000009</v>
      </c>
      <c r="R27" s="27">
        <f t="shared" si="5"/>
        <v>1220.5953295819552</v>
      </c>
      <c r="S27" s="6">
        <v>0</v>
      </c>
      <c r="T27" s="29">
        <f t="shared" si="6"/>
        <v>59809.171149515751</v>
      </c>
      <c r="U27" s="18">
        <f t="shared" si="7"/>
        <v>0.96534900000000001</v>
      </c>
      <c r="V27" s="33"/>
      <c r="W27" s="68">
        <v>0.42499999999999999</v>
      </c>
      <c r="X27" s="67">
        <f t="shared" si="3"/>
        <v>3.4031249999999999E-2</v>
      </c>
      <c r="Y27" s="67">
        <f t="shared" si="1"/>
        <v>12.488521579430671</v>
      </c>
      <c r="Z27" s="67">
        <f t="shared" si="2"/>
        <v>19.156517627776378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650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467.64219483267249</v>
      </c>
      <c r="M28" s="24">
        <f>J28/K28</f>
        <v>12.121212121212121</v>
      </c>
      <c r="N28" s="19">
        <v>0.7</v>
      </c>
      <c r="O28" s="64">
        <f>EXP(-6076.12*C28*(N28/3600)/(1.68781*L28*M28))</f>
        <v>0.92286736411898163</v>
      </c>
      <c r="P28" s="27">
        <f t="shared" ref="P28:P36" si="8">T27</f>
        <v>59809.171149515751</v>
      </c>
      <c r="Q28" s="18">
        <f t="shared" si="4"/>
        <v>0.96534900000000001</v>
      </c>
      <c r="R28" s="27">
        <f t="shared" si="5"/>
        <v>4613.2390206211076</v>
      </c>
      <c r="S28" s="6">
        <v>0</v>
      </c>
      <c r="T28" s="29">
        <f t="shared" si="6"/>
        <v>55195.932128894645</v>
      </c>
      <c r="U28" s="18">
        <f t="shared" si="7"/>
        <v>0.89088908708489489</v>
      </c>
      <c r="V28" s="33"/>
      <c r="W28" s="68">
        <v>0.45</v>
      </c>
      <c r="X28" s="67">
        <f t="shared" si="3"/>
        <v>3.5125000000000003E-2</v>
      </c>
      <c r="Y28" s="67">
        <f t="shared" si="1"/>
        <v>12.811387900355871</v>
      </c>
      <c r="Z28" s="67">
        <f t="shared" si="2"/>
        <v>19.098089487542687</v>
      </c>
      <c r="AA28" s="33"/>
      <c r="AB28" s="33"/>
      <c r="AC28" s="33"/>
    </row>
    <row r="29" spans="1:29" x14ac:dyDescent="0.3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55195.932128894645</v>
      </c>
      <c r="Q29" s="18">
        <f t="shared" si="4"/>
        <v>0.89088908708489489</v>
      </c>
      <c r="R29" s="27">
        <f t="shared" si="5"/>
        <v>551.95932128894697</v>
      </c>
      <c r="S29" s="6">
        <v>0</v>
      </c>
      <c r="T29" s="29">
        <f t="shared" si="6"/>
        <v>54643.9728076057</v>
      </c>
      <c r="U29" s="18">
        <f t="shared" si="7"/>
        <v>0.88198019621404589</v>
      </c>
      <c r="V29" s="33"/>
      <c r="W29" s="68">
        <v>0.47499999999999998</v>
      </c>
      <c r="X29" s="67">
        <f t="shared" si="3"/>
        <v>3.6281250000000001E-2</v>
      </c>
      <c r="Y29" s="67">
        <f t="shared" si="1"/>
        <v>13.092161929371231</v>
      </c>
      <c r="Z29" s="67">
        <f t="shared" si="2"/>
        <v>18.996105084706592</v>
      </c>
      <c r="AA29" s="33"/>
      <c r="AB29" s="33"/>
      <c r="AC29" s="33"/>
    </row>
    <row r="30" spans="1:29" x14ac:dyDescent="0.3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1</v>
      </c>
      <c r="O30" s="64">
        <f>1-(1/Q30)*C10*N30*(D30/60)</f>
        <v>0.8570824824535217</v>
      </c>
      <c r="P30" s="27">
        <f t="shared" si="8"/>
        <v>54643.9728076057</v>
      </c>
      <c r="Q30" s="18">
        <f t="shared" si="4"/>
        <v>0.88198019621404589</v>
      </c>
      <c r="R30" s="27">
        <f t="shared" si="5"/>
        <v>7809.5809425402704</v>
      </c>
      <c r="S30" s="6">
        <v>0</v>
      </c>
      <c r="T30" s="29">
        <f t="shared" si="6"/>
        <v>46834.39186506543</v>
      </c>
      <c r="U30" s="18">
        <f t="shared" si="7"/>
        <v>0.75592977604597866</v>
      </c>
      <c r="V30" s="33"/>
      <c r="W30" s="68">
        <v>0.5</v>
      </c>
      <c r="X30" s="67">
        <f t="shared" si="3"/>
        <v>3.7500000000000006E-2</v>
      </c>
      <c r="Y30" s="67">
        <f t="shared" si="1"/>
        <v>13.333333333333332</v>
      </c>
      <c r="Z30" s="67">
        <f t="shared" si="2"/>
        <v>18.856180831641264</v>
      </c>
      <c r="AA30" s="33"/>
      <c r="AB30" s="33"/>
      <c r="AC30" s="33"/>
    </row>
    <row r="31" spans="1:29" x14ac:dyDescent="0.3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46834.39186506543</v>
      </c>
      <c r="Q31" s="18">
        <f t="shared" si="4"/>
        <v>0.75592977604597866</v>
      </c>
      <c r="R31" s="27">
        <f t="shared" si="5"/>
        <v>0</v>
      </c>
      <c r="S31" s="6">
        <v>0</v>
      </c>
      <c r="T31" s="29">
        <f t="shared" si="6"/>
        <v>46834.39186506543</v>
      </c>
      <c r="U31" s="18">
        <f t="shared" si="7"/>
        <v>0.75592977604597866</v>
      </c>
      <c r="V31" s="33"/>
      <c r="W31" s="68">
        <v>0.52500000000000002</v>
      </c>
      <c r="X31" s="67">
        <f t="shared" si="3"/>
        <v>3.8781250000000003E-2</v>
      </c>
      <c r="Y31" s="67">
        <f t="shared" si="1"/>
        <v>13.53746978243352</v>
      </c>
      <c r="Z31" s="67">
        <f t="shared" si="2"/>
        <v>18.683483314990411</v>
      </c>
      <c r="AA31" s="33"/>
      <c r="AB31" s="33"/>
      <c r="AC31" s="33"/>
    </row>
    <row r="32" spans="1:29" x14ac:dyDescent="0.3">
      <c r="A32" s="1">
        <v>8</v>
      </c>
      <c r="B32" s="5" t="s">
        <v>128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46834.39186506543</v>
      </c>
      <c r="Q32" s="18">
        <f t="shared" si="4"/>
        <v>0.75592977604597866</v>
      </c>
      <c r="R32" s="27">
        <f t="shared" si="5"/>
        <v>936.6878373013094</v>
      </c>
      <c r="S32" s="6">
        <v>0</v>
      </c>
      <c r="T32" s="29">
        <f t="shared" si="6"/>
        <v>45897.704027764121</v>
      </c>
      <c r="U32" s="18">
        <f t="shared" si="7"/>
        <v>0.74081118052505912</v>
      </c>
      <c r="V32" s="33"/>
      <c r="W32" s="68">
        <v>0.55000000000000004</v>
      </c>
      <c r="X32" s="67">
        <f t="shared" si="3"/>
        <v>4.0125000000000008E-2</v>
      </c>
      <c r="Y32" s="67">
        <f t="shared" si="1"/>
        <v>13.707165109034266</v>
      </c>
      <c r="Z32" s="67">
        <f t="shared" si="2"/>
        <v>18.482737662543705</v>
      </c>
      <c r="AA32" s="33"/>
      <c r="AB32" s="33"/>
      <c r="AC32" s="33"/>
    </row>
    <row r="33" spans="1:29" x14ac:dyDescent="0.3">
      <c r="A33" s="1">
        <v>9</v>
      </c>
      <c r="B33" s="5" t="s">
        <v>81</v>
      </c>
      <c r="C33" s="5">
        <v>650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413.82072849135801</v>
      </c>
      <c r="M33" s="24">
        <f>J33/K33</f>
        <v>12.121212121212121</v>
      </c>
      <c r="N33" s="19">
        <v>0.7</v>
      </c>
      <c r="O33" s="64">
        <f>EXP(-6076.12*C33*(N33/3600)/(1.68781*L33*M33))</f>
        <v>0.91328286335309972</v>
      </c>
      <c r="P33" s="27">
        <f>T31</f>
        <v>46834.39186506543</v>
      </c>
      <c r="Q33" s="18">
        <f t="shared" si="4"/>
        <v>0.75592977604597866</v>
      </c>
      <c r="R33" s="27">
        <f t="shared" si="5"/>
        <v>4061.3443591373539</v>
      </c>
      <c r="S33" s="6">
        <v>0</v>
      </c>
      <c r="T33" s="29">
        <f t="shared" si="6"/>
        <v>42773.04750592808</v>
      </c>
      <c r="U33" s="18">
        <f t="shared" si="7"/>
        <v>0.69037771036113882</v>
      </c>
      <c r="V33" s="33"/>
      <c r="W33" s="68">
        <v>0.57499999999999996</v>
      </c>
      <c r="X33" s="67">
        <f t="shared" si="3"/>
        <v>4.1531249999999999E-2</v>
      </c>
      <c r="Y33" s="67">
        <f t="shared" si="1"/>
        <v>13.844996237772762</v>
      </c>
      <c r="Z33" s="67">
        <f t="shared" si="2"/>
        <v>18.258240346850986</v>
      </c>
      <c r="AA33" s="33"/>
      <c r="AB33" s="33"/>
      <c r="AC33" s="33"/>
    </row>
    <row r="34" spans="1:29" x14ac:dyDescent="0.3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42773.04750592808</v>
      </c>
      <c r="Q34" s="18">
        <f t="shared" si="4"/>
        <v>0.69037771036113882</v>
      </c>
      <c r="R34" s="27">
        <f t="shared" si="5"/>
        <v>427.73047505928116</v>
      </c>
      <c r="S34" s="6">
        <v>0</v>
      </c>
      <c r="T34" s="29">
        <f t="shared" si="6"/>
        <v>42345.317030868799</v>
      </c>
      <c r="U34" s="18">
        <f t="shared" si="7"/>
        <v>0.68347393325752748</v>
      </c>
      <c r="V34" s="33"/>
      <c r="W34" s="68">
        <v>0.6</v>
      </c>
      <c r="X34" s="67">
        <f t="shared" si="3"/>
        <v>4.2999999999999997E-2</v>
      </c>
      <c r="Y34" s="67">
        <f t="shared" si="1"/>
        <v>13.953488372093023</v>
      </c>
      <c r="Z34" s="67">
        <f t="shared" si="2"/>
        <v>18.01387602887171</v>
      </c>
      <c r="AA34" s="33"/>
      <c r="AB34" s="33"/>
      <c r="AC34" s="33"/>
    </row>
    <row r="35" spans="1:29" x14ac:dyDescent="0.3">
      <c r="A35" s="1">
        <v>11</v>
      </c>
      <c r="B35" s="5" t="s">
        <v>130</v>
      </c>
      <c r="C35" s="5"/>
      <c r="D35" s="5">
        <v>20</v>
      </c>
      <c r="E35" s="5">
        <v>1.756E-3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211.88004887954315</v>
      </c>
      <c r="M35" s="24">
        <f>J35/K35</f>
        <v>14.14141414141414</v>
      </c>
      <c r="N35" s="19">
        <v>0.7</v>
      </c>
      <c r="O35" s="64">
        <f>EXP(-(D35*60)*(N35/3600)/(M35))</f>
        <v>0.98363537939067236</v>
      </c>
      <c r="P35" s="27">
        <f t="shared" si="8"/>
        <v>42345.317030868799</v>
      </c>
      <c r="Q35" s="18">
        <f t="shared" si="4"/>
        <v>0.68347393325752748</v>
      </c>
      <c r="R35" s="27">
        <f t="shared" si="5"/>
        <v>692.9650477918683</v>
      </c>
      <c r="S35" s="6">
        <v>0</v>
      </c>
      <c r="T35" s="29">
        <f t="shared" si="6"/>
        <v>41652.351983076929</v>
      </c>
      <c r="U35" s="18">
        <f t="shared" si="7"/>
        <v>0.67228914164340303</v>
      </c>
      <c r="V35" s="34"/>
      <c r="W35" s="68">
        <v>0.625</v>
      </c>
      <c r="X35" s="67">
        <f t="shared" si="3"/>
        <v>4.4531250000000001E-2</v>
      </c>
      <c r="Y35" s="67">
        <f t="shared" si="1"/>
        <v>14.035087719298245</v>
      </c>
      <c r="Z35" s="67">
        <f t="shared" si="2"/>
        <v>17.753137741296165</v>
      </c>
      <c r="AA35" s="34"/>
      <c r="AB35" s="34"/>
      <c r="AC35" s="34"/>
    </row>
    <row r="36" spans="1:29" x14ac:dyDescent="0.3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41652.351983076929</v>
      </c>
      <c r="Q36" s="18">
        <f t="shared" si="4"/>
        <v>0.67228914164340303</v>
      </c>
      <c r="R36" s="27">
        <f t="shared" si="5"/>
        <v>208.26175991538483</v>
      </c>
      <c r="S36" s="6">
        <v>0</v>
      </c>
      <c r="T36" s="29">
        <f t="shared" si="6"/>
        <v>41444.090223161547</v>
      </c>
      <c r="U36" s="18">
        <f t="shared" si="7"/>
        <v>0.66892769593518608</v>
      </c>
      <c r="W36" s="68">
        <v>0.65</v>
      </c>
      <c r="X36" s="67">
        <f t="shared" si="3"/>
        <v>4.6125000000000006E-2</v>
      </c>
      <c r="Y36" s="67">
        <f t="shared" si="1"/>
        <v>14.092140921409213</v>
      </c>
      <c r="Z36" s="67">
        <f t="shared" si="2"/>
        <v>17.479149589807154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4.7781250000000004E-2</v>
      </c>
      <c r="Y37" s="67">
        <f t="shared" si="1"/>
        <v>14.126880313930673</v>
      </c>
      <c r="Z37" s="67">
        <f t="shared" si="2"/>
        <v>17.194691144701093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4.9500000000000002E-2</v>
      </c>
      <c r="Y38" s="67">
        <f t="shared" si="1"/>
        <v>14.14141414141414</v>
      </c>
      <c r="Z38" s="67">
        <f t="shared" si="2"/>
        <v>16.902222758264152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5.128125E-2</v>
      </c>
      <c r="Y39" s="67">
        <f t="shared" si="1"/>
        <v>14.137720901889091</v>
      </c>
      <c r="Z39" s="67">
        <f t="shared" si="2"/>
        <v>16.603911142889846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5.3125000000000006E-2</v>
      </c>
      <c r="Y40" s="67">
        <f t="shared" si="1"/>
        <v>14.117647058823527</v>
      </c>
      <c r="Z40" s="67">
        <f t="shared" si="2"/>
        <v>16.301654659471783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5.5031250000000004E-2</v>
      </c>
      <c r="Y41" s="67">
        <f t="shared" si="1"/>
        <v>14.082907438955139</v>
      </c>
      <c r="Z41" s="67">
        <f t="shared" si="2"/>
        <v>15.997107881121188</v>
      </c>
    </row>
    <row r="42" spans="1:29" x14ac:dyDescent="0.3">
      <c r="W42" s="68">
        <v>0.8</v>
      </c>
      <c r="X42" s="67">
        <f t="shared" si="3"/>
        <v>5.7000000000000009E-2</v>
      </c>
      <c r="Y42" s="67">
        <f t="shared" si="1"/>
        <v>14.035087719298245</v>
      </c>
      <c r="Z42" s="67">
        <f t="shared" si="2"/>
        <v>15.691705105261679</v>
      </c>
    </row>
    <row r="43" spans="1:29" x14ac:dyDescent="0.3">
      <c r="Q43" s="80" t="s">
        <v>85</v>
      </c>
      <c r="R43" s="81"/>
      <c r="S43" s="82"/>
      <c r="W43" s="68">
        <v>0.82499999999999996</v>
      </c>
      <c r="X43" s="67">
        <f t="shared" si="3"/>
        <v>5.903125E-2</v>
      </c>
      <c r="Y43" s="67">
        <f t="shared" si="1"/>
        <v>13.975648491265218</v>
      </c>
      <c r="Z43" s="67">
        <f t="shared" si="2"/>
        <v>15.386682583025896</v>
      </c>
    </row>
    <row r="44" spans="1:29" x14ac:dyDescent="0.3">
      <c r="Q44" s="1" t="s">
        <v>86</v>
      </c>
      <c r="R44" s="32">
        <f>SUM(R25:R41)</f>
        <v>21448.606424959231</v>
      </c>
      <c r="S44" s="1" t="s">
        <v>7</v>
      </c>
      <c r="W44" s="68">
        <v>0.85</v>
      </c>
      <c r="X44" s="67">
        <f t="shared" si="3"/>
        <v>6.1124999999999999E-2</v>
      </c>
      <c r="Y44" s="67">
        <f t="shared" si="1"/>
        <v>13.905930470347649</v>
      </c>
      <c r="Z44" s="67">
        <f t="shared" si="2"/>
        <v>15.083099316634581</v>
      </c>
    </row>
    <row r="45" spans="1:29" x14ac:dyDescent="0.3">
      <c r="Q45" s="1" t="s">
        <v>87</v>
      </c>
      <c r="R45" s="32">
        <f>R44*C21</f>
        <v>1286.9163854975538</v>
      </c>
      <c r="S45" s="1" t="s">
        <v>7</v>
      </c>
      <c r="W45" s="68">
        <v>0.875</v>
      </c>
      <c r="X45" s="67">
        <f t="shared" si="3"/>
        <v>6.3281250000000011E-2</v>
      </c>
      <c r="Y45" s="67">
        <f t="shared" si="1"/>
        <v>13.827160493827158</v>
      </c>
      <c r="Z45" s="67">
        <f t="shared" si="2"/>
        <v>14.781856342810629</v>
      </c>
    </row>
    <row r="46" spans="1:29" x14ac:dyDescent="0.3">
      <c r="Q46" s="1" t="s">
        <v>88</v>
      </c>
      <c r="R46" s="32">
        <f>R44+R45</f>
        <v>22735.522810456783</v>
      </c>
      <c r="S46" s="1" t="s">
        <v>7</v>
      </c>
      <c r="W46" s="68">
        <v>0.9</v>
      </c>
      <c r="X46" s="67">
        <f t="shared" si="3"/>
        <v>6.5500000000000003E-2</v>
      </c>
      <c r="Y46" s="67">
        <f t="shared" si="1"/>
        <v>13.740458015267174</v>
      </c>
      <c r="Z46" s="67">
        <f t="shared" si="2"/>
        <v>14.483714474053645</v>
      </c>
    </row>
    <row r="47" spans="1:29" x14ac:dyDescent="0.3">
      <c r="W47" s="68">
        <v>0.92500000000000004</v>
      </c>
      <c r="X47" s="67">
        <f t="shared" si="3"/>
        <v>6.7781250000000015E-2</v>
      </c>
      <c r="Y47" s="67">
        <f t="shared" si="1"/>
        <v>13.646841862609495</v>
      </c>
      <c r="Z47" s="67">
        <f>W47^(1/2)/X47</f>
        <v>14.189310511145296</v>
      </c>
    </row>
    <row r="48" spans="1:29" x14ac:dyDescent="0.3">
      <c r="W48" s="68">
        <v>0.95</v>
      </c>
      <c r="X48" s="67">
        <f t="shared" si="3"/>
        <v>7.0124999999999993E-2</v>
      </c>
      <c r="Y48" s="67">
        <f t="shared" si="1"/>
        <v>13.547237076648843</v>
      </c>
      <c r="Z48" s="67">
        <f t="shared" si="2"/>
        <v>13.89917197120708</v>
      </c>
    </row>
    <row r="49" spans="23:26" x14ac:dyDescent="0.3">
      <c r="W49" s="68">
        <v>0.97499999999999998</v>
      </c>
      <c r="X49" s="67">
        <f t="shared" si="3"/>
        <v>7.2531249999999992E-2</v>
      </c>
      <c r="Y49" s="67">
        <f t="shared" si="1"/>
        <v>13.442481688927188</v>
      </c>
      <c r="Z49" s="67">
        <f t="shared" si="2"/>
        <v>13.613730397677898</v>
      </c>
    </row>
    <row r="50" spans="23:26" x14ac:dyDescent="0.3">
      <c r="W50" s="68">
        <v>1</v>
      </c>
      <c r="X50" s="67">
        <f t="shared" si="3"/>
        <v>7.5000000000000011E-2</v>
      </c>
      <c r="Y50" s="67">
        <f t="shared" si="1"/>
        <v>13.333333333333332</v>
      </c>
      <c r="Z50" s="67">
        <f t="shared" si="2"/>
        <v>13.333333333333332</v>
      </c>
    </row>
  </sheetData>
  <mergeCells count="12">
    <mergeCell ref="Q43:S43"/>
    <mergeCell ref="B8:D8"/>
    <mergeCell ref="B11:D11"/>
    <mergeCell ref="N14:O14"/>
    <mergeCell ref="A20:U20"/>
    <mergeCell ref="E21:M21"/>
    <mergeCell ref="F7:H7"/>
    <mergeCell ref="M1:P1"/>
    <mergeCell ref="B2:D2"/>
    <mergeCell ref="F2:H2"/>
    <mergeCell ref="J2:J3"/>
    <mergeCell ref="B5:D5"/>
  </mergeCells>
  <conditionalFormatting sqref="Y8:Y50">
    <cfRule type="top10" dxfId="7" priority="2" rank="1"/>
  </conditionalFormatting>
  <conditionalFormatting sqref="Z8:Z50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D4"/>
  <sheetViews>
    <sheetView workbookViewId="0">
      <selection activeCell="C3" sqref="C3"/>
    </sheetView>
  </sheetViews>
  <sheetFormatPr defaultRowHeight="14.4" x14ac:dyDescent="0.3"/>
  <cols>
    <col min="2" max="2" width="28" customWidth="1"/>
  </cols>
  <sheetData>
    <row r="2" spans="2:4" x14ac:dyDescent="0.3">
      <c r="B2" s="78" t="s">
        <v>23</v>
      </c>
      <c r="C2" s="78"/>
      <c r="D2" s="78"/>
    </row>
    <row r="3" spans="2:4" x14ac:dyDescent="0.3">
      <c r="B3" s="2" t="s">
        <v>27</v>
      </c>
      <c r="C3" s="7">
        <v>105</v>
      </c>
      <c r="D3" s="2" t="s">
        <v>28</v>
      </c>
    </row>
    <row r="4" spans="2:4" x14ac:dyDescent="0.3">
      <c r="B4" s="2" t="s">
        <v>38</v>
      </c>
      <c r="C4" s="23">
        <v>0.87</v>
      </c>
      <c r="D4" s="2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4" x14ac:dyDescent="0.3"/>
  <cols>
    <col min="1" max="1" width="30" bestFit="1" customWidth="1"/>
    <col min="2" max="2" width="6" bestFit="1" customWidth="1"/>
    <col min="3" max="3" width="4.21875" bestFit="1" customWidth="1"/>
    <col min="6" max="6" width="24.77734375" bestFit="1" customWidth="1"/>
    <col min="7" max="8" width="8.5546875" bestFit="1" customWidth="1"/>
    <col min="9" max="9" width="9.21875" bestFit="1" customWidth="1"/>
    <col min="10" max="10" width="7.77734375" bestFit="1" customWidth="1"/>
  </cols>
  <sheetData>
    <row r="1" spans="1:10" x14ac:dyDescent="0.3">
      <c r="A1" s="87" t="s">
        <v>90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">
      <c r="A2" s="87"/>
      <c r="B2" s="87"/>
      <c r="C2" s="87"/>
      <c r="F2" s="43"/>
      <c r="G2" s="43" t="s">
        <v>6</v>
      </c>
      <c r="H2" s="43" t="s">
        <v>7</v>
      </c>
      <c r="I2" s="43" t="s">
        <v>91</v>
      </c>
      <c r="J2" s="16"/>
    </row>
    <row r="3" spans="1:10" x14ac:dyDescent="0.3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">
      <c r="F6" s="46" t="s">
        <v>92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">
      <c r="A7" s="78" t="s">
        <v>17</v>
      </c>
      <c r="B7" s="78"/>
      <c r="C7" s="78"/>
      <c r="F7" s="9"/>
      <c r="G7" s="49"/>
      <c r="H7" s="49"/>
      <c r="I7" s="50"/>
      <c r="J7" s="16"/>
    </row>
    <row r="8" spans="1:10" x14ac:dyDescent="0.3">
      <c r="A8" s="2" t="s">
        <v>19</v>
      </c>
      <c r="B8" s="7">
        <v>12000</v>
      </c>
      <c r="C8" s="2" t="s">
        <v>7</v>
      </c>
      <c r="F8" s="63" t="s">
        <v>93</v>
      </c>
      <c r="G8" s="63"/>
      <c r="H8" s="63"/>
      <c r="I8" s="63"/>
      <c r="J8" s="63"/>
    </row>
    <row r="9" spans="1:10" x14ac:dyDescent="0.3">
      <c r="A9" s="2" t="s">
        <v>20</v>
      </c>
      <c r="B9" s="7">
        <v>500</v>
      </c>
      <c r="C9" s="2" t="s">
        <v>7</v>
      </c>
      <c r="F9" s="43" t="s">
        <v>94</v>
      </c>
      <c r="G9" s="52">
        <f>I9</f>
        <v>0.67</v>
      </c>
      <c r="H9" s="43" t="s">
        <v>95</v>
      </c>
      <c r="I9" s="52">
        <f>B12</f>
        <v>0.67</v>
      </c>
      <c r="J9" s="43" t="s">
        <v>96</v>
      </c>
    </row>
    <row r="10" spans="1:10" x14ac:dyDescent="0.3">
      <c r="A10" s="78" t="s">
        <v>23</v>
      </c>
      <c r="B10" s="78"/>
      <c r="C10" s="78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">
      <c r="A12" s="2" t="s">
        <v>38</v>
      </c>
      <c r="B12" s="23">
        <v>0.67</v>
      </c>
      <c r="C12" s="2"/>
      <c r="F12" s="63" t="s">
        <v>97</v>
      </c>
      <c r="G12" s="63"/>
      <c r="H12" s="63"/>
      <c r="I12" s="63"/>
      <c r="J12" s="63"/>
    </row>
    <row r="13" spans="1:10" x14ac:dyDescent="0.3">
      <c r="F13" s="43" t="s">
        <v>98</v>
      </c>
      <c r="G13" s="52">
        <f>I13*4.88</f>
        <v>634.4</v>
      </c>
      <c r="H13" s="43" t="s">
        <v>99</v>
      </c>
      <c r="I13" s="51">
        <f>B11</f>
        <v>130</v>
      </c>
      <c r="J13" s="43" t="s">
        <v>100</v>
      </c>
    </row>
    <row r="14" spans="1:10" x14ac:dyDescent="0.3">
      <c r="A14" s="59" t="s">
        <v>101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">
      <c r="A15" s="35" t="s">
        <v>102</v>
      </c>
      <c r="B15" s="36">
        <v>0.93</v>
      </c>
      <c r="C15" s="16"/>
      <c r="F15" s="43" t="s">
        <v>103</v>
      </c>
      <c r="G15" s="54">
        <f>I15/3.28</f>
        <v>13.099525874462978</v>
      </c>
      <c r="H15" s="43" t="s">
        <v>104</v>
      </c>
      <c r="I15" s="54">
        <f>SQRT(G18*I14)</f>
        <v>42.966444868238568</v>
      </c>
      <c r="J15" s="43" t="s">
        <v>105</v>
      </c>
    </row>
    <row r="16" spans="1:10" x14ac:dyDescent="0.3">
      <c r="A16" s="37" t="s">
        <v>106</v>
      </c>
      <c r="B16" s="38">
        <v>0.39</v>
      </c>
      <c r="C16" s="16"/>
      <c r="F16" s="43" t="s">
        <v>107</v>
      </c>
      <c r="G16" s="54">
        <f>I16/3.28</f>
        <v>4.6784020980224925</v>
      </c>
      <c r="H16" s="43" t="s">
        <v>104</v>
      </c>
      <c r="I16" s="54">
        <f>2*I14/(I15*(1+G19))</f>
        <v>15.345158881513774</v>
      </c>
      <c r="J16" s="43" t="s">
        <v>105</v>
      </c>
    </row>
    <row r="17" spans="1:10" x14ac:dyDescent="0.3">
      <c r="A17" s="16"/>
      <c r="B17" s="16"/>
      <c r="C17" s="16"/>
      <c r="F17" s="43" t="s">
        <v>108</v>
      </c>
      <c r="G17" s="54">
        <f>G19*G16</f>
        <v>2.8070412588134954</v>
      </c>
      <c r="H17" s="43" t="s">
        <v>104</v>
      </c>
      <c r="I17" s="54">
        <f>G19*I16</f>
        <v>9.2070953289082631</v>
      </c>
      <c r="J17" s="43" t="s">
        <v>105</v>
      </c>
    </row>
    <row r="18" spans="1:10" x14ac:dyDescent="0.3">
      <c r="A18" s="60" t="s">
        <v>109</v>
      </c>
      <c r="B18" s="61"/>
      <c r="C18" s="62"/>
      <c r="F18" s="43" t="s">
        <v>110</v>
      </c>
      <c r="G18" s="51">
        <f>B19</f>
        <v>3.5</v>
      </c>
      <c r="H18" s="55"/>
      <c r="I18" s="55"/>
      <c r="J18" s="55"/>
    </row>
    <row r="19" spans="1:10" x14ac:dyDescent="0.3">
      <c r="A19" s="39" t="s">
        <v>111</v>
      </c>
      <c r="B19" s="40">
        <v>3.5</v>
      </c>
      <c r="C19" s="39"/>
      <c r="F19" s="46" t="s">
        <v>112</v>
      </c>
      <c r="G19" s="56">
        <f>B20</f>
        <v>0.6</v>
      </c>
      <c r="H19" s="57"/>
      <c r="I19" s="57"/>
      <c r="J19" s="57"/>
    </row>
    <row r="20" spans="1:10" x14ac:dyDescent="0.3">
      <c r="A20" s="37" t="s">
        <v>113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">
      <c r="A21" s="39" t="s">
        <v>114</v>
      </c>
      <c r="B21" s="40">
        <v>4</v>
      </c>
      <c r="C21" s="39"/>
      <c r="F21" s="63" t="s">
        <v>115</v>
      </c>
      <c r="G21" s="63"/>
      <c r="H21" s="63"/>
      <c r="I21" s="63"/>
      <c r="J21" s="63"/>
    </row>
    <row r="22" spans="1:10" x14ac:dyDescent="0.3">
      <c r="A22" s="35" t="s">
        <v>116</v>
      </c>
      <c r="B22" s="41">
        <v>0.3</v>
      </c>
      <c r="C22" s="35"/>
      <c r="F22" s="46" t="s">
        <v>117</v>
      </c>
      <c r="G22" s="58">
        <f>I22/3.28</f>
        <v>21.812298037144433</v>
      </c>
      <c r="H22" s="46" t="s">
        <v>104</v>
      </c>
      <c r="I22" s="58">
        <f>B15*H3^B16</f>
        <v>71.544337561833743</v>
      </c>
      <c r="J22" s="46" t="s">
        <v>105</v>
      </c>
    </row>
    <row r="23" spans="1:10" x14ac:dyDescent="0.3">
      <c r="A23" s="35" t="s">
        <v>118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">
      <c r="A24" s="37" t="s">
        <v>119</v>
      </c>
      <c r="B24" s="42">
        <v>0.5</v>
      </c>
      <c r="C24" s="37"/>
      <c r="F24" s="63" t="s">
        <v>120</v>
      </c>
      <c r="G24" s="63"/>
      <c r="H24" s="63"/>
      <c r="I24" s="63"/>
      <c r="J24" s="63"/>
    </row>
    <row r="25" spans="1:10" x14ac:dyDescent="0.3">
      <c r="A25" s="39" t="s">
        <v>121</v>
      </c>
      <c r="B25" s="40">
        <v>1.2</v>
      </c>
      <c r="C25" s="39"/>
      <c r="F25" s="43" t="s">
        <v>122</v>
      </c>
      <c r="G25" s="51">
        <f>B23</f>
        <v>0.4</v>
      </c>
      <c r="H25" s="43"/>
      <c r="I25" s="43"/>
      <c r="J25" s="43"/>
    </row>
    <row r="26" spans="1:10" x14ac:dyDescent="0.3">
      <c r="A26" s="35" t="s">
        <v>123</v>
      </c>
      <c r="B26" s="41">
        <v>0.3</v>
      </c>
      <c r="C26" s="35"/>
      <c r="F26" s="43" t="s">
        <v>124</v>
      </c>
      <c r="G26" s="54">
        <f>I26/3.28</f>
        <v>10.906149018572217</v>
      </c>
      <c r="H26" s="43" t="s">
        <v>104</v>
      </c>
      <c r="I26" s="54">
        <f>B24*I22</f>
        <v>35.772168780916871</v>
      </c>
      <c r="J26" s="43" t="s">
        <v>105</v>
      </c>
    </row>
    <row r="27" spans="1:10" x14ac:dyDescent="0.3">
      <c r="A27" s="35" t="s">
        <v>125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">
      <c r="A28" s="37" t="s">
        <v>126</v>
      </c>
      <c r="B28" s="42">
        <v>0.5</v>
      </c>
      <c r="C28" s="37"/>
      <c r="F28" s="43" t="s">
        <v>103</v>
      </c>
      <c r="G28" s="54">
        <f>I28/3.28</f>
        <v>4.4933498152303919</v>
      </c>
      <c r="H28" s="43" t="s">
        <v>104</v>
      </c>
      <c r="I28" s="54">
        <f>SQRT(G31*I27)</f>
        <v>14.738187393955686</v>
      </c>
      <c r="J28" s="43" t="s">
        <v>105</v>
      </c>
    </row>
    <row r="29" spans="1:10" x14ac:dyDescent="0.3">
      <c r="F29" s="43" t="s">
        <v>107</v>
      </c>
      <c r="G29" s="54">
        <f>I29/3.28</f>
        <v>1.7282114673963045</v>
      </c>
      <c r="H29" s="43" t="s">
        <v>104</v>
      </c>
      <c r="I29" s="54">
        <f>2*I27/(I28*(1+G32))</f>
        <v>5.6685336130598785</v>
      </c>
      <c r="J29" s="43" t="s">
        <v>105</v>
      </c>
    </row>
    <row r="30" spans="1:10" x14ac:dyDescent="0.3">
      <c r="F30" s="43" t="s">
        <v>108</v>
      </c>
      <c r="G30" s="54">
        <f>G32*G29</f>
        <v>0.51846344021889135</v>
      </c>
      <c r="H30" s="43" t="s">
        <v>104</v>
      </c>
      <c r="I30" s="54">
        <f>G32*I29</f>
        <v>1.7005600839179635</v>
      </c>
      <c r="J30" s="43" t="s">
        <v>105</v>
      </c>
    </row>
    <row r="31" spans="1:10" x14ac:dyDescent="0.3">
      <c r="F31" s="43" t="s">
        <v>110</v>
      </c>
      <c r="G31" s="51">
        <f>B21</f>
        <v>4</v>
      </c>
      <c r="H31" s="55"/>
      <c r="I31" s="55"/>
      <c r="J31" s="55"/>
    </row>
    <row r="32" spans="1:10" x14ac:dyDescent="0.3">
      <c r="F32" s="46" t="s">
        <v>112</v>
      </c>
      <c r="G32" s="56">
        <f>B22</f>
        <v>0.3</v>
      </c>
      <c r="H32" s="57"/>
      <c r="I32" s="57"/>
      <c r="J32" s="57"/>
    </row>
    <row r="33" spans="6:10" x14ac:dyDescent="0.3">
      <c r="F33" s="9"/>
      <c r="G33" s="9"/>
      <c r="H33" s="9"/>
      <c r="I33" s="9"/>
      <c r="J33" s="9"/>
    </row>
    <row r="34" spans="6:10" x14ac:dyDescent="0.3">
      <c r="F34" s="63" t="s">
        <v>127</v>
      </c>
      <c r="G34" s="63"/>
      <c r="H34" s="63"/>
      <c r="I34" s="63"/>
      <c r="J34" s="63"/>
    </row>
    <row r="35" spans="6:10" x14ac:dyDescent="0.3">
      <c r="F35" s="43" t="s">
        <v>122</v>
      </c>
      <c r="G35" s="51">
        <f>B27</f>
        <v>7.0000000000000007E-2</v>
      </c>
      <c r="H35" s="43"/>
      <c r="I35" s="43"/>
      <c r="J35" s="43"/>
    </row>
    <row r="36" spans="6:10" x14ac:dyDescent="0.3">
      <c r="F36" s="43" t="s">
        <v>124</v>
      </c>
      <c r="G36" s="54">
        <f>I36/3.28</f>
        <v>10.906149018572217</v>
      </c>
      <c r="H36" s="43" t="s">
        <v>104</v>
      </c>
      <c r="I36" s="54">
        <f>B28*I22</f>
        <v>35.772168780916871</v>
      </c>
      <c r="J36" s="43" t="s">
        <v>105</v>
      </c>
    </row>
    <row r="37" spans="6:10" x14ac:dyDescent="0.3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">
      <c r="F38" s="43" t="s">
        <v>103</v>
      </c>
      <c r="G38" s="54">
        <f>I38/3.28</f>
        <v>2.2240946872149117</v>
      </c>
      <c r="H38" s="43" t="s">
        <v>104</v>
      </c>
      <c r="I38" s="54">
        <f>SQRT(G41*I37)</f>
        <v>7.29503057406491</v>
      </c>
      <c r="J38" s="43" t="s">
        <v>105</v>
      </c>
    </row>
    <row r="39" spans="6:10" x14ac:dyDescent="0.3">
      <c r="F39" s="43" t="s">
        <v>107</v>
      </c>
      <c r="G39" s="54">
        <f>I39/3.28</f>
        <v>2.8514034451473225</v>
      </c>
      <c r="H39" s="43" t="s">
        <v>104</v>
      </c>
      <c r="I39" s="54">
        <f>2*I37/(I38*(1+G42))</f>
        <v>9.3526033000832172</v>
      </c>
      <c r="J39" s="43" t="s">
        <v>105</v>
      </c>
    </row>
    <row r="40" spans="6:10" x14ac:dyDescent="0.3">
      <c r="F40" s="43" t="s">
        <v>108</v>
      </c>
      <c r="G40" s="54">
        <f>G42*G39</f>
        <v>0.85542103354419674</v>
      </c>
      <c r="H40" s="43" t="s">
        <v>104</v>
      </c>
      <c r="I40" s="54">
        <f>G42*I39</f>
        <v>2.8057809900249651</v>
      </c>
      <c r="J40" s="43" t="s">
        <v>105</v>
      </c>
    </row>
    <row r="41" spans="6:10" x14ac:dyDescent="0.3">
      <c r="F41" s="43" t="s">
        <v>110</v>
      </c>
      <c r="G41" s="51">
        <f>B25</f>
        <v>1.2</v>
      </c>
      <c r="H41" s="55"/>
      <c r="I41" s="55"/>
      <c r="J41" s="55"/>
    </row>
    <row r="42" spans="6:10" x14ac:dyDescent="0.3">
      <c r="F42" s="46" t="s">
        <v>112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Jordan Reaves</cp:lastModifiedBy>
  <cp:revision/>
  <dcterms:created xsi:type="dcterms:W3CDTF">2015-06-05T18:17:20Z</dcterms:created>
  <dcterms:modified xsi:type="dcterms:W3CDTF">2026-02-03T03:36:41Z</dcterms:modified>
  <cp:category/>
  <cp:contentStatus/>
</cp:coreProperties>
</file>